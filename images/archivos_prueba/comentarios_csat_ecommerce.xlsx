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645b9a2554a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ntarios_CSAT" sheetId="1" r:id="R3406d0d68029476e"/>
    <x:sheet xmlns:r="http://schemas.openxmlformats.org/officeDocument/2006/relationships" name="Resumen" sheetId="2" r:id="R735f9339c7984877"/>
    <x:sheet xmlns:r="http://schemas.openxmlformats.org/officeDocument/2006/relationships" name="Listas" sheetId="3" r:id="Rd2a215acd928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.00"/>
    <x:numFmt numFmtId="203" formatCode="0.0%"/>
  </x:numFmts>
  <x:fonts count="6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1F2937"/>
      <x:name val="Carlito"/>
    </x:font>
    <x:font>
      <x:b/>
      <x:sz val="14"/>
      <x:name val="Carlito"/>
    </x:font>
    <x:font>
      <x:i/>
      <x:sz val="11"/>
      <x:color rgb="37415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202" fontId="4" fillId="0" borderId="0" xfId="0" applyNumberFormat="1" applyFont="1" applyFill="1" applyBorder="1" applyAlignment="1">
      <x:alignment horizontal="center"/>
    </x:xf>
    <x:xf numFmtId="202" fontId="4" fillId="0" borderId="1" xfId="0" applyNumberFormat="1" applyFont="1" applyFill="1" applyBorder="1" applyAlignment="1">
      <x:alignment horizontal="center"/>
    </x:xf>
    <x:xf numFmtId="203" fontId="4" fillId="0" borderId="0" xfId="0" applyNumberFormat="1" applyFont="1" applyFill="1" applyBorder="1" applyAlignment="1">
      <x:alignment horizontal="center"/>
    </x:xf>
    <x:xf numFmtId="203" fontId="4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2" fontId="4" fillId="0" borderId="0" xfId="0" applyNumberFormat="1" applyFont="1" applyFill="1" applyBorder="1" applyAlignment="1">
      <x:alignment horizontal="center" vertical="center"/>
    </x:xf>
    <x:xf numFmtId="203" fontId="4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3" fontId="4" fillId="0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2" fontId="4" fillId="0" borderId="0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horizontal="center" vertical="center" wrapText="1"/>
    </x:xf>
    <x:xf numFmtId="203" fontId="4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7ee2a5ed84950" /><Relationship Type="http://schemas.openxmlformats.org/officeDocument/2006/relationships/theme" Target="/xl/theme/theme1.xml" Id="R4c2b54b3a4534919" /><Relationship Type="http://schemas.openxmlformats.org/officeDocument/2006/relationships/sharedStrings" Target="/xl/sharedStrings.xml" Id="R89e075b5ac6448ad" /><Relationship Type="http://schemas.openxmlformats.org/officeDocument/2006/relationships/worksheet" Target="/xl/worksheets/sheet1.xml" Id="R3406d0d68029476e" /><Relationship Type="http://schemas.openxmlformats.org/officeDocument/2006/relationships/worksheet" Target="/xl/worksheets/sheet2.xml" Id="R735f9339c7984877" /><Relationship Type="http://schemas.openxmlformats.org/officeDocument/2006/relationships/worksheet" Target="/xl/worksheets/sheet3.xml" Id="Rd2a215acd9284d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f3b28673424cd2" /><Relationship Type="http://schemas.openxmlformats.org/officeDocument/2006/relationships/chart" Target="/xl/drawings/charts/chart2.xml" Id="R80cbbf27766f460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Comentarios por sentimiento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Comentarios</c:v>
          </c:tx>
          <c:cat>
            <c:strRef>
              <c:f>'Resumen'!$A$8:$A$10</c:f>
              <c:strCache>
                <c:ptCount val="0"/>
              </c:strCache>
            </c:strRef>
          </c:cat>
          <c:val>
            <c:numRef>
              <c:f>'Resumen'!$B$8:$B$10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Comentarios por categoría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Comentarios</c:v>
          </c:tx>
          <c:cat>
            <c:strRef>
              <c:f>'Resumen'!$D$8:$D$45</c:f>
              <c:strCache>
                <c:ptCount val="0"/>
              </c:strCache>
            </c:strRef>
          </c:cat>
          <c:val>
            <c:numRef>
              <c:f>'Resumen'!$E$8:$E$45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3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f3b28673424cd2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cbbf27766f460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ComentariosCSAT" displayName="TablaComentariosCSAT" ref="A1:H61" headerRowCount="1">
  <x:tableColumns count="8">
    <x:tableColumn id="1" name="ID"/>
    <x:tableColumn id="2" name="Fecha"/>
    <x:tableColumn id="3" name="Canal"/>
    <x:tableColumn id="4" name="Calificación CSAT"/>
    <x:tableColumn id="5" name="Sentimiento"/>
    <x:tableColumn id="6" name="Categoría"/>
    <x:tableColumn id="7" name="Comentario"/>
    <x:tableColumn id="8" name="Acción sugerida"/>
  </x:tableColumns>
  <x:tableStyleInfo name="TableStyleMedium2" showRowStripes="1"/>
</x:table>
</file>

<file path=xl/tables/table2.xml><?xml version="1.0" encoding="utf-8"?>
<x:table xmlns:x="http://schemas.openxmlformats.org/spreadsheetml/2006/main" id="2" name="TablaSentimiento" displayName="TablaSentimiento" ref="A7:B10" headerRowCount="1">
  <x:tableColumns count="2">
    <x:tableColumn id="1" name="Sentimiento"/>
    <x:tableColumn id="2" name="Comentarios"/>
  </x:tableColumns>
  <x:tableStyleInfo name="TableStyleMedium2" showRowStripes="1"/>
</x:table>
</file>

<file path=xl/tables/table3.xml><?xml version="1.0" encoding="utf-8"?>
<x:table xmlns:x="http://schemas.openxmlformats.org/spreadsheetml/2006/main" id="3" name="TablaCategoria" displayName="TablaCategoria" ref="D7:E45" headerRowCount="1">
  <x:tableColumns count="2">
    <x:tableColumn id="1" name="Categoría"/>
    <x:tableColumn id="2" name="Comentarios"/>
  </x:tableColumns>
  <x:tableStyleInfo name="TableStyleMedium2" showRowStripes="1"/>
</x:table>
</file>

<file path=xl/tables/table4.xml><?xml version="1.0" encoding="utf-8"?>
<x:table xmlns:x="http://schemas.openxmlformats.org/spreadsheetml/2006/main" id="4" name="TablaCategoriasNegativas" displayName="TablaCategoriasNegativas" ref="G7:H45" headerRowCount="1">
  <x:tableColumns count="2">
    <x:tableColumn id="1" name="Categoría negativa"/>
    <x:tableColumn id="2" name="Comentarios negativo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817d6f25334ab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e0d49a5bd724783" /><Relationship Type="http://schemas.openxmlformats.org/officeDocument/2006/relationships/table" Target="/xl/tables/table2.xml" Id="Ra44d273959c54d07" /><Relationship Type="http://schemas.openxmlformats.org/officeDocument/2006/relationships/table" Target="/xl/tables/table3.xml" Id="Rb78a830e1b2b42cf" /><Relationship Type="http://schemas.openxmlformats.org/officeDocument/2006/relationships/table" Target="/xl/tables/table4.xml" Id="R954a5a75fdd145e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6" hidden="0" customWidth="1"/>
    <x:col min="5" max="5" width="14" hidden="0" customWidth="1"/>
    <x:col min="6" max="6" width="22" hidden="0" customWidth="1"/>
    <x:col min="7" max="7" width="55" hidden="0" customWidth="1"/>
    <x:col min="8" max="8" width="44" hidden="0" customWidth="1"/>
  </x:cols>
  <x:sheetData>
    <x:row r="1" ht="28" customHeight="1">
      <x:c r="A1" s="14" t="str">
        <x:v>ID</x:v>
      </x:c>
      <x:c r="B1" s="14" t="str">
        <x:v>Fecha</x:v>
      </x:c>
      <x:c r="C1" s="14" t="str">
        <x:v>Canal</x:v>
      </x:c>
      <x:c r="D1" s="14" t="str">
        <x:v>Calificación CSAT</x:v>
      </x:c>
      <x:c r="E1" s="14" t="str">
        <x:v>Sentimiento</x:v>
      </x:c>
      <x:c r="F1" s="14" t="str">
        <x:v>Categoría</x:v>
      </x:c>
      <x:c r="G1" s="14" t="str">
        <x:v>Comentario</x:v>
      </x:c>
      <x:c r="H1" s="14" t="str">
        <x:v>Acción sugerida</x:v>
      </x:c>
    </x:row>
    <x:row r="2" ht="54" customHeight="1">
      <x:c r="A2" s="15" t="str">
        <x:v>CSAT-001</x:v>
      </x:c>
      <x:c r="B2" s="18" t="n">
        <x:v>46143</x:v>
      </x:c>
      <x:c r="C2" s="15" t="str">
        <x:v>Web</x:v>
      </x:c>
      <x:c r="D2" s="20" t="n">
        <x:v>5</x:v>
      </x:c>
      <x:c r="E2" s="15" t="str">
        <x:v>Positivo</x:v>
      </x:c>
      <x:c r="F2" s="15" t="str">
        <x:v>Navegación</x:v>
      </x:c>
      <x:c r="G2" s="15" t="str">
        <x:v>La página fue muy fácil de usar y encontré rápidamente el producto que estaba buscando.</x:v>
      </x:c>
      <x:c r="H2" s="15" t="str">
        <x:v>Mantener navegación simple y filtros visibles.</x:v>
      </x:c>
    </x:row>
    <x:row r="3" ht="54" customHeight="1">
      <x:c r="A3" s="15" t="str">
        <x:v>CSAT-002</x:v>
      </x:c>
      <x:c r="B3" s="18" t="n">
        <x:v>46144</x:v>
      </x:c>
      <x:c r="C3" s="15" t="str">
        <x:v>App</x:v>
      </x:c>
      <x:c r="D3" s="20" t="n">
        <x:v>4</x:v>
      </x:c>
      <x:c r="E3" s="15" t="str">
        <x:v>Positivo</x:v>
      </x:c>
      <x:c r="F3" s="15" t="str">
        <x:v>Checkout</x:v>
      </x:c>
      <x:c r="G3" s="15" t="str">
        <x:v>El proceso de compra fue rápido, aunque me gustaría ver más opciones de envío.</x:v>
      </x:c>
      <x:c r="H3" s="15" t="str">
        <x:v>Evaluar ampliar opciones de entrega.</x:v>
      </x:c>
    </x:row>
    <x:row r="4" ht="54" customHeight="1">
      <x:c r="A4" s="15" t="str">
        <x:v>CSAT-003</x:v>
      </x:c>
      <x:c r="B4" s="18" t="n">
        <x:v>46145</x:v>
      </x:c>
      <x:c r="C4" s="15" t="str">
        <x:v>Web</x:v>
      </x:c>
      <x:c r="D4" s="20" t="n">
        <x:v>2</x:v>
      </x:c>
      <x:c r="E4" s="15" t="str">
        <x:v>Negativo</x:v>
      </x:c>
      <x:c r="F4" s="15" t="str">
        <x:v>Método de pago</x:v>
      </x:c>
      <x:c r="G4" s="15" t="str">
        <x:v>Intenté pagar con tarjeta y el sistema rechazó el pago sin explicar el motivo.</x:v>
      </x:c>
      <x:c r="H4" s="15" t="str">
        <x:v>Mejorar mensajes de error en pago.</x:v>
      </x:c>
    </x:row>
    <x:row r="5" ht="54" customHeight="1">
      <x:c r="A5" s="15" t="str">
        <x:v>CSAT-004</x:v>
      </x:c>
      <x:c r="B5" s="18" t="n">
        <x:v>46146</x:v>
      </x:c>
      <x:c r="C5" s="15" t="str">
        <x:v>Web</x:v>
      </x:c>
      <x:c r="D5" s="20" t="n">
        <x:v>3</x:v>
      </x:c>
      <x:c r="E5" s="15" t="str">
        <x:v>Neutral</x:v>
      </x:c>
      <x:c r="F5" s="15" t="str">
        <x:v>Información de producto</x:v>
      </x:c>
      <x:c r="G5" s="15" t="str">
        <x:v>El producto se veía bien, pero faltaban detalles sobre medidas y materiales.</x:v>
      </x:c>
      <x:c r="H5" s="15" t="str">
        <x:v>Agregar fichas técnicas más completas.</x:v>
      </x:c>
    </x:row>
    <x:row r="6" ht="54" customHeight="1">
      <x:c r="A6" s="15" t="str">
        <x:v>CSAT-005</x:v>
      </x:c>
      <x:c r="B6" s="18" t="n">
        <x:v>46147</x:v>
      </x:c>
      <x:c r="C6" s="15" t="str">
        <x:v>App</x:v>
      </x:c>
      <x:c r="D6" s="20" t="n">
        <x:v>1</x:v>
      </x:c>
      <x:c r="E6" s="15" t="str">
        <x:v>Negativo</x:v>
      </x:c>
      <x:c r="F6" s="15" t="str">
        <x:v>Performance</x:v>
      </x:c>
      <x:c r="G6" s="15" t="str">
        <x:v>La aplicación se quedó cargando en el último paso y no pude completar mi compra.</x:v>
      </x:c>
      <x:c r="H6" s="15" t="str">
        <x:v>Revisar tiempos de respuesta en checkout.</x:v>
      </x:c>
    </x:row>
    <x:row r="7" ht="54" customHeight="1">
      <x:c r="A7" s="15" t="str">
        <x:v>CSAT-006</x:v>
      </x:c>
      <x:c r="B7" s="18" t="n">
        <x:v>46148</x:v>
      </x:c>
      <x:c r="C7" s="15" t="str">
        <x:v>Web</x:v>
      </x:c>
      <x:c r="D7" s="20" t="n">
        <x:v>5</x:v>
      </x:c>
      <x:c r="E7" s="15" t="str">
        <x:v>Positivo</x:v>
      </x:c>
      <x:c r="F7" s="15" t="str">
        <x:v>Promociones</x:v>
      </x:c>
      <x:c r="G7" s="15" t="str">
        <x:v>La promoción fue clara y el descuento se aplicó correctamente en el carrito.</x:v>
      </x:c>
      <x:c r="H7" s="15" t="str">
        <x:v>Mantener claridad en condiciones promocionales.</x:v>
      </x:c>
    </x:row>
    <x:row r="8" ht="54" customHeight="1">
      <x:c r="A8" s="15" t="str">
        <x:v>CSAT-007</x:v>
      </x:c>
      <x:c r="B8" s="18" t="n">
        <x:v>46149</x:v>
      </x:c>
      <x:c r="C8" s="15" t="str">
        <x:v>App</x:v>
      </x:c>
      <x:c r="D8" s="20" t="n">
        <x:v>2</x:v>
      </x:c>
      <x:c r="E8" s="15" t="str">
        <x:v>Negativo</x:v>
      </x:c>
      <x:c r="F8" s="15" t="str">
        <x:v>Disponibilidad</x:v>
      </x:c>
      <x:c r="G8" s="15" t="str">
        <x:v>El producto aparecía disponible, pero al pagar me indicó que ya no había stock.</x:v>
      </x:c>
      <x:c r="H8" s="15" t="str">
        <x:v>Actualizar inventario en tiempo real.</x:v>
      </x:c>
    </x:row>
    <x:row r="9" ht="54" customHeight="1">
      <x:c r="A9" s="15" t="str">
        <x:v>CSAT-008</x:v>
      </x:c>
      <x:c r="B9" s="18" t="n">
        <x:v>46150</x:v>
      </x:c>
      <x:c r="C9" s="15" t="str">
        <x:v>Web</x:v>
      </x:c>
      <x:c r="D9" s="20" t="n">
        <x:v>4</x:v>
      </x:c>
      <x:c r="E9" s="15" t="str">
        <x:v>Positivo</x:v>
      </x:c>
      <x:c r="F9" s="15" t="str">
        <x:v>Carrito</x:v>
      </x:c>
      <x:c r="G9" s="15" t="str">
        <x:v>Pude agregar y quitar productos del carrito sin problema.</x:v>
      </x:c>
      <x:c r="H9" s="15" t="str">
        <x:v>Mantener estabilidad del carrito.</x:v>
      </x:c>
    </x:row>
    <x:row r="10" ht="54" customHeight="1">
      <x:c r="A10" s="15" t="str">
        <x:v>CSAT-009</x:v>
      </x:c>
      <x:c r="B10" s="18" t="n">
        <x:v>46151</x:v>
      </x:c>
      <x:c r="C10" s="15" t="str">
        <x:v>Web</x:v>
      </x:c>
      <x:c r="D10" s="20" t="n">
        <x:v>3</x:v>
      </x:c>
      <x:c r="E10" s="15" t="str">
        <x:v>Neutral</x:v>
      </x:c>
      <x:c r="F10" s="15" t="str">
        <x:v>Envío</x:v>
      </x:c>
      <x:c r="G10" s="15" t="str">
        <x:v>La compra fue sencilla, pero el costo de envío apareció hasta el final.</x:v>
      </x:c>
      <x:c r="H10" s="15" t="str">
        <x:v>Mostrar costo estimado de envío antes del checkout.</x:v>
      </x:c>
    </x:row>
    <x:row r="11" ht="54" customHeight="1">
      <x:c r="A11" s="15" t="str">
        <x:v>CSAT-010</x:v>
      </x:c>
      <x:c r="B11" s="18" t="n">
        <x:v>46152</x:v>
      </x:c>
      <x:c r="C11" s="15" t="str">
        <x:v>App</x:v>
      </x:c>
      <x:c r="D11" s="20" t="n">
        <x:v>1</x:v>
      </x:c>
      <x:c r="E11" s="15" t="str">
        <x:v>Negativo</x:v>
      </x:c>
      <x:c r="F11" s="15" t="str">
        <x:v>Login</x:v>
      </x:c>
      <x:c r="G11" s="15" t="str">
        <x:v>Tuve que iniciar sesión varias veces porque la app cerraba mi cuenta automáticamente.</x:v>
      </x:c>
      <x:c r="H11" s="15" t="str">
        <x:v>Revisar persistencia de sesión.</x:v>
      </x:c>
    </x:row>
    <x:row r="12" ht="54" customHeight="1">
      <x:c r="A12" s="15" t="str">
        <x:v>CSAT-011</x:v>
      </x:c>
      <x:c r="B12" s="18" t="n">
        <x:v>46153</x:v>
      </x:c>
      <x:c r="C12" s="15" t="str">
        <x:v>Web</x:v>
      </x:c>
      <x:c r="D12" s="20" t="n">
        <x:v>5</x:v>
      </x:c>
      <x:c r="E12" s="15" t="str">
        <x:v>Positivo</x:v>
      </x:c>
      <x:c r="F12" s="15" t="str">
        <x:v>Confianza</x:v>
      </x:c>
      <x:c r="G12" s="15" t="str">
        <x:v>El sitio se ve confiable y me dio seguridad ingresar mis datos de pago.</x:v>
      </x:c>
      <x:c r="H12" s="15" t="str">
        <x:v>Continuar reforzando elementos de seguridad.</x:v>
      </x:c>
    </x:row>
    <x:row r="13" ht="54" customHeight="1">
      <x:c r="A13" s="15" t="str">
        <x:v>CSAT-012</x:v>
      </x:c>
      <x:c r="B13" s="18" t="n">
        <x:v>46154</x:v>
      </x:c>
      <x:c r="C13" s="15" t="str">
        <x:v>App</x:v>
      </x:c>
      <x:c r="D13" s="20" t="n">
        <x:v>4</x:v>
      </x:c>
      <x:c r="E13" s="15" t="str">
        <x:v>Positivo</x:v>
      </x:c>
      <x:c r="F13" s="15" t="str">
        <x:v>Búsqueda</x:v>
      </x:c>
      <x:c r="G13" s="15" t="str">
        <x:v>El buscador me ayudó a encontrar productos similares muy rápido.</x:v>
      </x:c>
      <x:c r="H13" s="15" t="str">
        <x:v>Mantener sugerencias en buscador.</x:v>
      </x:c>
    </x:row>
    <x:row r="14" ht="54" customHeight="1">
      <x:c r="A14" s="15" t="str">
        <x:v>CSAT-013</x:v>
      </x:c>
      <x:c r="B14" s="18" t="n">
        <x:v>46155</x:v>
      </x:c>
      <x:c r="C14" s="15" t="str">
        <x:v>Web</x:v>
      </x:c>
      <x:c r="D14" s="20" t="n">
        <x:v>2</x:v>
      </x:c>
      <x:c r="E14" s="15" t="str">
        <x:v>Negativo</x:v>
      </x:c>
      <x:c r="F14" s="15" t="str">
        <x:v>Cupones</x:v>
      </x:c>
      <x:c r="G14" s="15" t="str">
        <x:v>Mi cupón aparecía como válido, pero desapareció antes de confirmar la compra.</x:v>
      </x:c>
      <x:c r="H14" s="15" t="str">
        <x:v>Validar reglas de cupones en checkout.</x:v>
      </x:c>
    </x:row>
    <x:row r="15" ht="54" customHeight="1">
      <x:c r="A15" s="15" t="str">
        <x:v>CSAT-014</x:v>
      </x:c>
      <x:c r="B15" s="18" t="n">
        <x:v>46143</x:v>
      </x:c>
      <x:c r="C15" s="15" t="str">
        <x:v>Web</x:v>
      </x:c>
      <x:c r="D15" s="20" t="n">
        <x:v>3</x:v>
      </x:c>
      <x:c r="E15" s="15" t="str">
        <x:v>Neutral</x:v>
      </x:c>
      <x:c r="F15" s="15" t="str">
        <x:v>Soporte</x:v>
      </x:c>
      <x:c r="G15" s="15" t="str">
        <x:v>No tuve errores, pero me costó encontrar la sección de ayuda.</x:v>
      </x:c>
      <x:c r="H15" s="15" t="str">
        <x:v>Hacer más visible el acceso a soporte.</x:v>
      </x:c>
    </x:row>
    <x:row r="16" ht="54" customHeight="1">
      <x:c r="A16" s="15" t="str">
        <x:v>CSAT-015</x:v>
      </x:c>
      <x:c r="B16" s="18" t="n">
        <x:v>46144</x:v>
      </x:c>
      <x:c r="C16" s="15" t="str">
        <x:v>App</x:v>
      </x:c>
      <x:c r="D16" s="20" t="n">
        <x:v>5</x:v>
      </x:c>
      <x:c r="E16" s="15" t="str">
        <x:v>Positivo</x:v>
      </x:c>
      <x:c r="F16" s="15" t="str">
        <x:v>Confirmación</x:v>
      </x:c>
      <x:c r="G16" s="15" t="str">
        <x:v>Recibí la confirmación de compra inmediatamente y con todos los detalles.</x:v>
      </x:c>
      <x:c r="H16" s="15" t="str">
        <x:v>Mantener comunicación post-compra.</x:v>
      </x:c>
    </x:row>
    <x:row r="17" ht="54" customHeight="1">
      <x:c r="A17" s="15" t="str">
        <x:v>CSAT-016</x:v>
      </x:c>
      <x:c r="B17" s="18" t="n">
        <x:v>46145</x:v>
      </x:c>
      <x:c r="C17" s="15" t="str">
        <x:v>Web</x:v>
      </x:c>
      <x:c r="D17" s="20" t="n">
        <x:v>1</x:v>
      </x:c>
      <x:c r="E17" s="15" t="str">
        <x:v>Negativo</x:v>
      </x:c>
      <x:c r="F17" s="15" t="str">
        <x:v>Performance</x:v>
      </x:c>
      <x:c r="G17" s="15" t="str">
        <x:v>La página tardó mucho en cargar y terminé abandonando la compra.</x:v>
      </x:c>
      <x:c r="H17" s="15" t="str">
        <x:v>Optimizar carga de páginas críticas.</x:v>
      </x:c>
    </x:row>
    <x:row r="18" ht="54" customHeight="1">
      <x:c r="A18" s="15" t="str">
        <x:v>CSAT-017</x:v>
      </x:c>
      <x:c r="B18" s="18" t="n">
        <x:v>46146</x:v>
      </x:c>
      <x:c r="C18" s="15" t="str">
        <x:v>App</x:v>
      </x:c>
      <x:c r="D18" s="20" t="n">
        <x:v>4</x:v>
      </x:c>
      <x:c r="E18" s="15" t="str">
        <x:v>Positivo</x:v>
      </x:c>
      <x:c r="F18" s="15" t="str">
        <x:v>Diseño</x:v>
      </x:c>
      <x:c r="G18" s="15" t="str">
        <x:v>El diseño es claro y los botones principales son fáciles de identificar.</x:v>
      </x:c>
      <x:c r="H18" s="15" t="str">
        <x:v>Conservar jerarquía visual.</x:v>
      </x:c>
    </x:row>
    <x:row r="19" ht="54" customHeight="1">
      <x:c r="A19" s="15" t="str">
        <x:v>CSAT-018</x:v>
      </x:c>
      <x:c r="B19" s="18" t="n">
        <x:v>46147</x:v>
      </x:c>
      <x:c r="C19" s="15" t="str">
        <x:v>Web</x:v>
      </x:c>
      <x:c r="D19" s="20" t="n">
        <x:v>2</x:v>
      </x:c>
      <x:c r="E19" s="15" t="str">
        <x:v>Negativo</x:v>
      </x:c>
      <x:c r="F19" s="15" t="str">
        <x:v>Precios</x:v>
      </x:c>
      <x:c r="G19" s="15" t="str">
        <x:v>El precio cambió en el último paso y no entendí por qué.</x:v>
      </x:c>
      <x:c r="H19" s="15" t="str">
        <x:v>Explicar cargos adicionales y cambios de precio.</x:v>
      </x:c>
    </x:row>
    <x:row r="20" ht="54" customHeight="1">
      <x:c r="A20" s="15" t="str">
        <x:v>CSAT-019</x:v>
      </x:c>
      <x:c r="B20" s="18" t="n">
        <x:v>46148</x:v>
      </x:c>
      <x:c r="C20" s="15" t="str">
        <x:v>Web</x:v>
      </x:c>
      <x:c r="D20" s="20" t="n">
        <x:v>5</x:v>
      </x:c>
      <x:c r="E20" s="15" t="str">
        <x:v>Positivo</x:v>
      </x:c>
      <x:c r="F20" s="15" t="str">
        <x:v>Filtros</x:v>
      </x:c>
      <x:c r="G20" s="15" t="str">
        <x:v>Los filtros por talla, color y precio funcionaron muy bien.</x:v>
      </x:c>
      <x:c r="H20" s="15" t="str">
        <x:v>Mantener filtros completos y precisos.</x:v>
      </x:c>
    </x:row>
    <x:row r="21" ht="54" customHeight="1">
      <x:c r="A21" s="15" t="str">
        <x:v>CSAT-020</x:v>
      </x:c>
      <x:c r="B21" s="18" t="n">
        <x:v>46149</x:v>
      </x:c>
      <x:c r="C21" s="15" t="str">
        <x:v>App</x:v>
      </x:c>
      <x:c r="D21" s="20" t="n">
        <x:v>3</x:v>
      </x:c>
      <x:c r="E21" s="15" t="str">
        <x:v>Neutral</x:v>
      </x:c>
      <x:c r="F21" s="15" t="str">
        <x:v>Imágenes</x:v>
      </x:c>
      <x:c r="G21" s="15" t="str">
        <x:v>Las imágenes ayudan, pero quisiera ver más fotos del producto en uso.</x:v>
      </x:c>
      <x:c r="H21" s="15" t="str">
        <x:v>Agregar galerías y fotos contextuales.</x:v>
      </x:c>
    </x:row>
    <x:row r="22" ht="54" customHeight="1">
      <x:c r="A22" s="15" t="str">
        <x:v>CSAT-021</x:v>
      </x:c>
      <x:c r="B22" s="18" t="n">
        <x:v>46150</x:v>
      </x:c>
      <x:c r="C22" s="15" t="str">
        <x:v>Web</x:v>
      </x:c>
      <x:c r="D22" s="20" t="n">
        <x:v>1</x:v>
      </x:c>
      <x:c r="E22" s="15" t="str">
        <x:v>Negativo</x:v>
      </x:c>
      <x:c r="F22" s="15" t="str">
        <x:v>Checkout</x:v>
      </x:c>
      <x:c r="G22" s="15" t="str">
        <x:v>El botón de pagar no respondió después de llenar mis datos.</x:v>
      </x:c>
      <x:c r="H22" s="15" t="str">
        <x:v>Revisar eventos y errores del botón de pago.</x:v>
      </x:c>
    </x:row>
    <x:row r="23" ht="54" customHeight="1">
      <x:c r="A23" s="15" t="str">
        <x:v>CSAT-022</x:v>
      </x:c>
      <x:c r="B23" s="18" t="n">
        <x:v>46151</x:v>
      </x:c>
      <x:c r="C23" s="15" t="str">
        <x:v>App</x:v>
      </x:c>
      <x:c r="D23" s="20" t="n">
        <x:v>5</x:v>
      </x:c>
      <x:c r="E23" s="15" t="str">
        <x:v>Positivo</x:v>
      </x:c>
      <x:c r="F23" s="15" t="str">
        <x:v>Favoritos</x:v>
      </x:c>
      <x:c r="G23" s="15" t="str">
        <x:v>Me gustó poder guardar productos en favoritos para comprarlos después.</x:v>
      </x:c>
      <x:c r="H23" s="15" t="str">
        <x:v>Promover lista de favoritos.</x:v>
      </x:c>
    </x:row>
    <x:row r="24" ht="54" customHeight="1">
      <x:c r="A24" s="15" t="str">
        <x:v>CSAT-023</x:v>
      </x:c>
      <x:c r="B24" s="18" t="n">
        <x:v>46152</x:v>
      </x:c>
      <x:c r="C24" s="15" t="str">
        <x:v>Web</x:v>
      </x:c>
      <x:c r="D24" s="20" t="n">
        <x:v>2</x:v>
      </x:c>
      <x:c r="E24" s="15" t="str">
        <x:v>Negativo</x:v>
      </x:c>
      <x:c r="F24" s="15" t="str">
        <x:v>Registro</x:v>
      </x:c>
      <x:c r="G24" s="15" t="str">
        <x:v>El registro fue demasiado largo y preferiría comprar como invitado.</x:v>
      </x:c>
      <x:c r="H24" s="15" t="str">
        <x:v>Habilitar o destacar compra como invitado.</x:v>
      </x:c>
    </x:row>
    <x:row r="25" ht="54" customHeight="1">
      <x:c r="A25" s="15" t="str">
        <x:v>CSAT-024</x:v>
      </x:c>
      <x:c r="B25" s="18" t="n">
        <x:v>46153</x:v>
      </x:c>
      <x:c r="C25" s="15" t="str">
        <x:v>Web</x:v>
      </x:c>
      <x:c r="D25" s="20" t="n">
        <x:v>4</x:v>
      </x:c>
      <x:c r="E25" s="15" t="str">
        <x:v>Positivo</x:v>
      </x:c>
      <x:c r="F25" s="15" t="str">
        <x:v>Resumen de compra</x:v>
      </x:c>
      <x:c r="G25" s="15" t="str">
        <x:v>El resumen de compra fue claro y pude revisar todo antes de pagar.</x:v>
      </x:c>
      <x:c r="H25" s="15" t="str">
        <x:v>Mantener resumen visible y completo.</x:v>
      </x:c>
    </x:row>
    <x:row r="26" ht="54" customHeight="1">
      <x:c r="A26" s="15" t="str">
        <x:v>CSAT-025</x:v>
      </x:c>
      <x:c r="B26" s="18" t="n">
        <x:v>46154</x:v>
      </x:c>
      <x:c r="C26" s="15" t="str">
        <x:v>App</x:v>
      </x:c>
      <x:c r="D26" s="20" t="n">
        <x:v>3</x:v>
      </x:c>
      <x:c r="E26" s="15" t="str">
        <x:v>Neutral</x:v>
      </x:c>
      <x:c r="F26" s="15" t="str">
        <x:v>Promociones</x:v>
      </x:c>
      <x:c r="G26" s="15" t="str">
        <x:v>La promoción era atractiva, pero no entendí exactamente qué productos aplicaban.</x:v>
      </x:c>
      <x:c r="H26" s="15" t="str">
        <x:v>Simplificar términos de promoción.</x:v>
      </x:c>
    </x:row>
    <x:row r="27" ht="54" customHeight="1">
      <x:c r="A27" s="15" t="str">
        <x:v>CSAT-026</x:v>
      </x:c>
      <x:c r="B27" s="18" t="n">
        <x:v>46155</x:v>
      </x:c>
      <x:c r="C27" s="15" t="str">
        <x:v>Web</x:v>
      </x:c>
      <x:c r="D27" s="20" t="n">
        <x:v>5</x:v>
      </x:c>
      <x:c r="E27" s="15" t="str">
        <x:v>Positivo</x:v>
      </x:c>
      <x:c r="F27" s="15" t="str">
        <x:v>Entrega</x:v>
      </x:c>
      <x:c r="G27" s="15" t="str">
        <x:v>La información de entrega fue clara y me ayudó a decidir mi compra.</x:v>
      </x:c>
      <x:c r="H27" s="15" t="str">
        <x:v>Mantener estimados de entrega visibles.</x:v>
      </x:c>
    </x:row>
    <x:row r="28" ht="54" customHeight="1">
      <x:c r="A28" s="15" t="str">
        <x:v>CSAT-027</x:v>
      </x:c>
      <x:c r="B28" s="18" t="n">
        <x:v>46143</x:v>
      </x:c>
      <x:c r="C28" s="15" t="str">
        <x:v>App</x:v>
      </x:c>
      <x:c r="D28" s="20" t="n">
        <x:v>1</x:v>
      </x:c>
      <x:c r="E28" s="15" t="str">
        <x:v>Negativo</x:v>
      </x:c>
      <x:c r="F28" s="15" t="str">
        <x:v>Errores técnicos</x:v>
      </x:c>
      <x:c r="G28" s="15" t="str">
        <x:v>La app se cerró justo cuando estaba confirmando el pedido.</x:v>
      </x:c>
      <x:c r="H28" s="15" t="str">
        <x:v>Priorizar revisión de crash en checkout.</x:v>
      </x:c>
    </x:row>
    <x:row r="29" ht="54" customHeight="1">
      <x:c r="A29" s="15" t="str">
        <x:v>CSAT-028</x:v>
      </x:c>
      <x:c r="B29" s="18" t="n">
        <x:v>46144</x:v>
      </x:c>
      <x:c r="C29" s="15" t="str">
        <x:v>Web</x:v>
      </x:c>
      <x:c r="D29" s="20" t="n">
        <x:v>4</x:v>
      </x:c>
      <x:c r="E29" s="15" t="str">
        <x:v>Positivo</x:v>
      </x:c>
      <x:c r="F29" s="15" t="str">
        <x:v>Comparación</x:v>
      </x:c>
      <x:c r="G29" s="15" t="str">
        <x:v>Me gustó poder comparar productos antes de elegir.</x:v>
      </x:c>
      <x:c r="H29" s="15" t="str">
        <x:v>Mantener herramienta de comparación.</x:v>
      </x:c>
    </x:row>
    <x:row r="30" ht="54" customHeight="1">
      <x:c r="A30" s="15" t="str">
        <x:v>CSAT-029</x:v>
      </x:c>
      <x:c r="B30" s="18" t="n">
        <x:v>46145</x:v>
      </x:c>
      <x:c r="C30" s="15" t="str">
        <x:v>Web</x:v>
      </x:c>
      <x:c r="D30" s="20" t="n">
        <x:v>2</x:v>
      </x:c>
      <x:c r="E30" s="15" t="str">
        <x:v>Negativo</x:v>
      </x:c>
      <x:c r="F30" s="15" t="str">
        <x:v>Búsqueda</x:v>
      </x:c>
      <x:c r="G30" s="15" t="str">
        <x:v>El buscador no mostró resultados relevantes y tuve que navegar manualmente.</x:v>
      </x:c>
      <x:c r="H30" s="15" t="str">
        <x:v>Mejorar relevancia del buscador interno.</x:v>
      </x:c>
    </x:row>
    <x:row r="31" ht="54" customHeight="1">
      <x:c r="A31" s="15" t="str">
        <x:v>CSAT-030</x:v>
      </x:c>
      <x:c r="B31" s="18" t="n">
        <x:v>46146</x:v>
      </x:c>
      <x:c r="C31" s="15" t="str">
        <x:v>App</x:v>
      </x:c>
      <x:c r="D31" s="20" t="n">
        <x:v>3</x:v>
      </x:c>
      <x:c r="E31" s="15" t="str">
        <x:v>Neutral</x:v>
      </x:c>
      <x:c r="F31" s="15" t="str">
        <x:v>Dirección</x:v>
      </x:c>
      <x:c r="G31" s="15" t="str">
        <x:v>Pude comprar, pero cambiar la dirección de envío no fue tan intuitivo.</x:v>
      </x:c>
      <x:c r="H31" s="15" t="str">
        <x:v>Simplificar edición de dirección.</x:v>
      </x:c>
    </x:row>
    <x:row r="32" ht="54" customHeight="1">
      <x:c r="A32" s="15" t="str">
        <x:v>CSAT-031</x:v>
      </x:c>
      <x:c r="B32" s="18" t="n">
        <x:v>46147</x:v>
      </x:c>
      <x:c r="C32" s="15" t="str">
        <x:v>Web</x:v>
      </x:c>
      <x:c r="D32" s="20" t="n">
        <x:v>5</x:v>
      </x:c>
      <x:c r="E32" s="15" t="str">
        <x:v>Positivo</x:v>
      </x:c>
      <x:c r="F32" s="15" t="str">
        <x:v>Checkout</x:v>
      </x:c>
      <x:c r="G32" s="15" t="str">
        <x:v>El checkout tuvo pocos pasos y finalicé la compra sin complicaciones.</x:v>
      </x:c>
      <x:c r="H32" s="15" t="str">
        <x:v>Mantener checkout corto.</x:v>
      </x:c>
    </x:row>
    <x:row r="33" ht="54" customHeight="1">
      <x:c r="A33" s="15" t="str">
        <x:v>CSAT-032</x:v>
      </x:c>
      <x:c r="B33" s="18" t="n">
        <x:v>46148</x:v>
      </x:c>
      <x:c r="C33" s="15" t="str">
        <x:v>App</x:v>
      </x:c>
      <x:c r="D33" s="20" t="n">
        <x:v>4</x:v>
      </x:c>
      <x:c r="E33" s="15" t="str">
        <x:v>Positivo</x:v>
      </x:c>
      <x:c r="F33" s="15" t="str">
        <x:v>Método de pago</x:v>
      </x:c>
      <x:c r="G33" s="15" t="str">
        <x:v>Me gustó tener varias opciones de pago disponibles.</x:v>
      </x:c>
      <x:c r="H33" s="15" t="str">
        <x:v>Seguir ampliando métodos de pago.</x:v>
      </x:c>
    </x:row>
    <x:row r="34" ht="54" customHeight="1">
      <x:c r="A34" s="15" t="str">
        <x:v>CSAT-033</x:v>
      </x:c>
      <x:c r="B34" s="18" t="n">
        <x:v>46149</x:v>
      </x:c>
      <x:c r="C34" s="15" t="str">
        <x:v>Web</x:v>
      </x:c>
      <x:c r="D34" s="20" t="n">
        <x:v>1</x:v>
      </x:c>
      <x:c r="E34" s="15" t="str">
        <x:v>Negativo</x:v>
      </x:c>
      <x:c r="F34" s="15" t="str">
        <x:v>Inventario</x:v>
      </x:c>
      <x:c r="G34" s="15" t="str">
        <x:v>Después de agregar varios productos, algunos se eliminaron solos del carrito.</x:v>
      </x:c>
      <x:c r="H34" s="15" t="str">
        <x:v>Revisar sincronización de carrito e inventario.</x:v>
      </x:c>
    </x:row>
    <x:row r="35" ht="54" customHeight="1">
      <x:c r="A35" s="15" t="str">
        <x:v>CSAT-034</x:v>
      </x:c>
      <x:c r="B35" s="18" t="n">
        <x:v>46150</x:v>
      </x:c>
      <x:c r="C35" s="15" t="str">
        <x:v>Web</x:v>
      </x:c>
      <x:c r="D35" s="20" t="n">
        <x:v>3</x:v>
      </x:c>
      <x:c r="E35" s="15" t="str">
        <x:v>Neutral</x:v>
      </x:c>
      <x:c r="F35" s="15" t="str">
        <x:v>Contenido</x:v>
      </x:c>
      <x:c r="G35" s="15" t="str">
        <x:v>El sitio tiene mucha información, pero algunas secciones se sienten saturadas.</x:v>
      </x:c>
      <x:c r="H35" s="15" t="str">
        <x:v>Reducir carga visual en páginas principales.</x:v>
      </x:c>
    </x:row>
    <x:row r="36" ht="54" customHeight="1">
      <x:c r="A36" s="15" t="str">
        <x:v>CSAT-035</x:v>
      </x:c>
      <x:c r="B36" s="18" t="n">
        <x:v>46151</x:v>
      </x:c>
      <x:c r="C36" s="15" t="str">
        <x:v>App</x:v>
      </x:c>
      <x:c r="D36" s="20" t="n">
        <x:v>5</x:v>
      </x:c>
      <x:c r="E36" s="15" t="str">
        <x:v>Positivo</x:v>
      </x:c>
      <x:c r="F36" s="15" t="str">
        <x:v>Velocidad</x:v>
      </x:c>
      <x:c r="G36" s="15" t="str">
        <x:v>La app cargó rápido y pude completar la compra en pocos minutos.</x:v>
      </x:c>
      <x:c r="H36" s="15" t="str">
        <x:v>Mantener monitoreo de performance.</x:v>
      </x:c>
    </x:row>
    <x:row r="37" ht="54" customHeight="1">
      <x:c r="A37" s="15" t="str">
        <x:v>CSAT-036</x:v>
      </x:c>
      <x:c r="B37" s="18" t="n">
        <x:v>46152</x:v>
      </x:c>
      <x:c r="C37" s="15" t="str">
        <x:v>Web</x:v>
      </x:c>
      <x:c r="D37" s="20" t="n">
        <x:v>2</x:v>
      </x:c>
      <x:c r="E37" s="15" t="str">
        <x:v>Negativo</x:v>
      </x:c>
      <x:c r="F37" s="15" t="str">
        <x:v>Soporte</x:v>
      </x:c>
      <x:c r="G37" s="15" t="str">
        <x:v>Necesitaba ayuda y no encontré un chat o contacto visible.</x:v>
      </x:c>
      <x:c r="H37" s="15" t="str">
        <x:v>Hacer visible el soporte en checkout.</x:v>
      </x:c>
    </x:row>
    <x:row r="38" ht="54" customHeight="1">
      <x:c r="A38" s="15" t="str">
        <x:v>CSAT-037</x:v>
      </x:c>
      <x:c r="B38" s="18" t="n">
        <x:v>46153</x:v>
      </x:c>
      <x:c r="C38" s="15" t="str">
        <x:v>App</x:v>
      </x:c>
      <x:c r="D38" s="20" t="n">
        <x:v>4</x:v>
      </x:c>
      <x:c r="E38" s="15" t="str">
        <x:v>Positivo</x:v>
      </x:c>
      <x:c r="F38" s="15" t="str">
        <x:v>Recomendaciones</x:v>
      </x:c>
      <x:c r="G38" s="15" t="str">
        <x:v>Las recomendaciones de productos fueron útiles y relevantes.</x:v>
      </x:c>
      <x:c r="H38" s="15" t="str">
        <x:v>Mantener recomendaciones personalizadas.</x:v>
      </x:c>
    </x:row>
    <x:row r="39" ht="54" customHeight="1">
      <x:c r="A39" s="15" t="str">
        <x:v>CSAT-038</x:v>
      </x:c>
      <x:c r="B39" s="18" t="n">
        <x:v>46154</x:v>
      </x:c>
      <x:c r="C39" s="15" t="str">
        <x:v>Web</x:v>
      </x:c>
      <x:c r="D39" s="20" t="n">
        <x:v>3</x:v>
      </x:c>
      <x:c r="E39" s="15" t="str">
        <x:v>Neutral</x:v>
      </x:c>
      <x:c r="F39" s="15" t="str">
        <x:v>Devoluciones</x:v>
      </x:c>
      <x:c r="G39" s="15" t="str">
        <x:v>Me gustaría que la política de cambios y devoluciones fuera más fácil de encontrar.</x:v>
      </x:c>
      <x:c r="H39" s="15" t="str">
        <x:v>Destacar políticas en páginas de producto.</x:v>
      </x:c>
    </x:row>
    <x:row r="40" ht="54" customHeight="1">
      <x:c r="A40" s="15" t="str">
        <x:v>CSAT-039</x:v>
      </x:c>
      <x:c r="B40" s="18" t="n">
        <x:v>46155</x:v>
      </x:c>
      <x:c r="C40" s="15" t="str">
        <x:v>App</x:v>
      </x:c>
      <x:c r="D40" s="20" t="n">
        <x:v>1</x:v>
      </x:c>
      <x:c r="E40" s="15" t="str">
        <x:v>Negativo</x:v>
      </x:c>
      <x:c r="F40" s="15" t="str">
        <x:v>Código postal</x:v>
      </x:c>
      <x:c r="G40" s="15" t="str">
        <x:v>No pude avanzar porque el sistema no aceptó mi código postal.</x:v>
      </x:c>
      <x:c r="H40" s="15" t="str">
        <x:v>Validar cobertura y formato de CP.</x:v>
      </x:c>
    </x:row>
    <x:row r="41" ht="54" customHeight="1">
      <x:c r="A41" s="15" t="str">
        <x:v>CSAT-040</x:v>
      </x:c>
      <x:c r="B41" s="18" t="n">
        <x:v>46143</x:v>
      </x:c>
      <x:c r="C41" s="15" t="str">
        <x:v>Web</x:v>
      </x:c>
      <x:c r="D41" s="20" t="n">
        <x:v>5</x:v>
      </x:c>
      <x:c r="E41" s="15" t="str">
        <x:v>Positivo</x:v>
      </x:c>
      <x:c r="F41" s="15" t="str">
        <x:v>Experiencia general</x:v>
      </x:c>
      <x:c r="G41" s="15" t="str">
        <x:v>La experiencia fue clara, rápida y volvería a comprar.</x:v>
      </x:c>
      <x:c r="H41" s="15" t="str">
        <x:v>Mantener buenas prácticas actuales.</x:v>
      </x:c>
    </x:row>
    <x:row r="42" ht="54" customHeight="1">
      <x:c r="A42" s="15" t="str">
        <x:v>CSAT-041</x:v>
      </x:c>
      <x:c r="B42" s="18" t="n">
        <x:v>46144</x:v>
      </x:c>
      <x:c r="C42" s="15" t="str">
        <x:v>Web</x:v>
      </x:c>
      <x:c r="D42" s="20" t="n">
        <x:v>2</x:v>
      </x:c>
      <x:c r="E42" s="15" t="str">
        <x:v>Negativo</x:v>
      </x:c>
      <x:c r="F42" s="15" t="str">
        <x:v>Checkout</x:v>
      </x:c>
      <x:c r="G42" s="15" t="str">
        <x:v>Tuve que capturar mis datos dos veces porque se borraron al regresar de pantalla.</x:v>
      </x:c>
      <x:c r="H42" s="15" t="str">
        <x:v>Conservar datos al retroceder en checkout.</x:v>
      </x:c>
    </x:row>
    <x:row r="43" ht="54" customHeight="1">
      <x:c r="A43" s="15" t="str">
        <x:v>CSAT-042</x:v>
      </x:c>
      <x:c r="B43" s="18" t="n">
        <x:v>46145</x:v>
      </x:c>
      <x:c r="C43" s="15" t="str">
        <x:v>App</x:v>
      </x:c>
      <x:c r="D43" s="20" t="n">
        <x:v>4</x:v>
      </x:c>
      <x:c r="E43" s="15" t="str">
        <x:v>Positivo</x:v>
      </x:c>
      <x:c r="F43" s="15" t="str">
        <x:v>Notificaciones</x:v>
      </x:c>
      <x:c r="G43" s="15" t="str">
        <x:v>Las notificaciones sobre el estado del pedido fueron claras y oportunas.</x:v>
      </x:c>
      <x:c r="H43" s="15" t="str">
        <x:v>Mantener comunicación proactiva.</x:v>
      </x:c>
    </x:row>
    <x:row r="44" ht="54" customHeight="1">
      <x:c r="A44" s="15" t="str">
        <x:v>CSAT-043</x:v>
      </x:c>
      <x:c r="B44" s="18" t="n">
        <x:v>46146</x:v>
      </x:c>
      <x:c r="C44" s="15" t="str">
        <x:v>Web</x:v>
      </x:c>
      <x:c r="D44" s="20" t="n">
        <x:v>3</x:v>
      </x:c>
      <x:c r="E44" s="15" t="str">
        <x:v>Neutral</x:v>
      </x:c>
      <x:c r="F44" s="15" t="str">
        <x:v>Mobile</x:v>
      </x:c>
      <x:c r="G44" s="15" t="str">
        <x:v>En celular algunos botones se ven pequeños, aunque pude terminar la compra.</x:v>
      </x:c>
      <x:c r="H44" s="15" t="str">
        <x:v>Optimizar tamaño de botones en móvil.</x:v>
      </x:c>
    </x:row>
    <x:row r="45" ht="54" customHeight="1">
      <x:c r="A45" s="15" t="str">
        <x:v>CSAT-044</x:v>
      </x:c>
      <x:c r="B45" s="18" t="n">
        <x:v>46147</x:v>
      </x:c>
      <x:c r="C45" s="15" t="str">
        <x:v>App</x:v>
      </x:c>
      <x:c r="D45" s="20" t="n">
        <x:v>1</x:v>
      </x:c>
      <x:c r="E45" s="15" t="str">
        <x:v>Negativo</x:v>
      </x:c>
      <x:c r="F45" s="15" t="str">
        <x:v>Método de pago</x:v>
      </x:c>
      <x:c r="G45" s="15" t="str">
        <x:v>El pago se quedó procesando demasiado tiempo y no supe si se cobró.</x:v>
      </x:c>
      <x:c r="H45" s="15" t="str">
        <x:v>Mostrar estado de pago y evitar incertidumbre.</x:v>
      </x:c>
    </x:row>
    <x:row r="46" ht="54" customHeight="1">
      <x:c r="A46" s="15" t="str">
        <x:v>CSAT-045</x:v>
      </x:c>
      <x:c r="B46" s="18" t="n">
        <x:v>46148</x:v>
      </x:c>
      <x:c r="C46" s="15" t="str">
        <x:v>Web</x:v>
      </x:c>
      <x:c r="D46" s="20" t="n">
        <x:v>5</x:v>
      </x:c>
      <x:c r="E46" s="15" t="str">
        <x:v>Positivo</x:v>
      </x:c>
      <x:c r="F46" s="15" t="str">
        <x:v>Producto</x:v>
      </x:c>
      <x:c r="G46" s="15" t="str">
        <x:v>La descripción del producto fue suficiente para tomar una decisión.</x:v>
      </x:c>
      <x:c r="H46" s="15" t="str">
        <x:v>Mantener contenido detallado.</x:v>
      </x:c>
    </x:row>
    <x:row r="47" ht="54" customHeight="1">
      <x:c r="A47" s="15" t="str">
        <x:v>CSAT-046</x:v>
      </x:c>
      <x:c r="B47" s="18" t="n">
        <x:v>46149</x:v>
      </x:c>
      <x:c r="C47" s="15" t="str">
        <x:v>Web</x:v>
      </x:c>
      <x:c r="D47" s="20" t="n">
        <x:v>4</x:v>
      </x:c>
      <x:c r="E47" s="15" t="str">
        <x:v>Positivo</x:v>
      </x:c>
      <x:c r="F47" s="15" t="str">
        <x:v>Carrito</x:v>
      </x:c>
      <x:c r="G47" s="15" t="str">
        <x:v>El carrito mostró correctamente impuestos, descuentos y total.</x:v>
      </x:c>
      <x:c r="H47" s="15" t="str">
        <x:v>Mantener desglose de costos.</x:v>
      </x:c>
    </x:row>
    <x:row r="48" ht="54" customHeight="1">
      <x:c r="A48" s="15" t="str">
        <x:v>CSAT-047</x:v>
      </x:c>
      <x:c r="B48" s="18" t="n">
        <x:v>46150</x:v>
      </x:c>
      <x:c r="C48" s="15" t="str">
        <x:v>App</x:v>
      </x:c>
      <x:c r="D48" s="20" t="n">
        <x:v>2</x:v>
      </x:c>
      <x:c r="E48" s="15" t="str">
        <x:v>Negativo</x:v>
      </x:c>
      <x:c r="F48" s="15" t="str">
        <x:v>Performance</x:v>
      </x:c>
      <x:c r="G48" s="15" t="str">
        <x:v>Las pantallas tardaron demasiado en cargar durante la navegación.</x:v>
      </x:c>
      <x:c r="H48" s="15" t="str">
        <x:v>Optimizar performance en app.</x:v>
      </x:c>
    </x:row>
    <x:row r="49" ht="54" customHeight="1">
      <x:c r="A49" s="15" t="str">
        <x:v>CSAT-048</x:v>
      </x:c>
      <x:c r="B49" s="18" t="n">
        <x:v>46151</x:v>
      </x:c>
      <x:c r="C49" s="15" t="str">
        <x:v>Web</x:v>
      </x:c>
      <x:c r="D49" s="20" t="n">
        <x:v>3</x:v>
      </x:c>
      <x:c r="E49" s="15" t="str">
        <x:v>Neutral</x:v>
      </x:c>
      <x:c r="F49" s="15" t="str">
        <x:v>Reseñas</x:v>
      </x:c>
      <x:c r="G49" s="15" t="str">
        <x:v>Me habría gustado ver más reseñas de otros compradores.</x:v>
      </x:c>
      <x:c r="H49" s="15" t="str">
        <x:v>Incrementar visibilidad de reseñas.</x:v>
      </x:c>
    </x:row>
    <x:row r="50" ht="54" customHeight="1">
      <x:c r="A50" s="15" t="str">
        <x:v>CSAT-049</x:v>
      </x:c>
      <x:c r="B50" s="18" t="n">
        <x:v>46152</x:v>
      </x:c>
      <x:c r="C50" s="15" t="str">
        <x:v>App</x:v>
      </x:c>
      <x:c r="D50" s="20" t="n">
        <x:v>5</x:v>
      </x:c>
      <x:c r="E50" s="15" t="str">
        <x:v>Positivo</x:v>
      </x:c>
      <x:c r="F50" s="15" t="str">
        <x:v>Usabilidad</x:v>
      </x:c>
      <x:c r="G50" s="15" t="str">
        <x:v>La app es intuitiva y pude comprar sin pedir ayuda.</x:v>
      </x:c>
      <x:c r="H50" s="15" t="str">
        <x:v>Mantener pruebas de usabilidad.</x:v>
      </x:c>
    </x:row>
    <x:row r="51" ht="54" customHeight="1">
      <x:c r="A51" s="15" t="str">
        <x:v>CSAT-050</x:v>
      </x:c>
      <x:c r="B51" s="18" t="n">
        <x:v>46153</x:v>
      </x:c>
      <x:c r="C51" s="15" t="str">
        <x:v>Web</x:v>
      </x:c>
      <x:c r="D51" s="20" t="n">
        <x:v>2</x:v>
      </x:c>
      <x:c r="E51" s="15" t="str">
        <x:v>Negativo</x:v>
      </x:c>
      <x:c r="F51" s="15" t="str">
        <x:v>Promociones</x:v>
      </x:c>
      <x:c r="G51" s="15" t="str">
        <x:v>El banner anunciaba descuento, pero al entrar no era claro cómo aplicarlo.</x:v>
      </x:c>
      <x:c r="H51" s="15" t="str">
        <x:v>Conectar banners con páginas promocionales claras.</x:v>
      </x:c>
    </x:row>
    <x:row r="52" ht="54" customHeight="1">
      <x:c r="A52" s="15" t="str">
        <x:v>CSAT-051</x:v>
      </x:c>
      <x:c r="B52" s="18" t="n">
        <x:v>46154</x:v>
      </x:c>
      <x:c r="C52" s="15" t="str">
        <x:v>Web</x:v>
      </x:c>
      <x:c r="D52" s="20" t="n">
        <x:v>4</x:v>
      </x:c>
      <x:c r="E52" s="15" t="str">
        <x:v>Positivo</x:v>
      </x:c>
      <x:c r="F52" s="15" t="str">
        <x:v>Envío</x:v>
      </x:c>
      <x:c r="G52" s="15" t="str">
        <x:v>El estimado de entrega fue claro desde antes de pagar.</x:v>
      </x:c>
      <x:c r="H52" s="15" t="str">
        <x:v>Mantener visibilidad de fechas de entrega.</x:v>
      </x:c>
    </x:row>
    <x:row r="53" ht="54" customHeight="1">
      <x:c r="A53" s="15" t="str">
        <x:v>CSAT-052</x:v>
      </x:c>
      <x:c r="B53" s="18" t="n">
        <x:v>46155</x:v>
      </x:c>
      <x:c r="C53" s="15" t="str">
        <x:v>App</x:v>
      </x:c>
      <x:c r="D53" s="20" t="n">
        <x:v>1</x:v>
      </x:c>
      <x:c r="E53" s="15" t="str">
        <x:v>Negativo</x:v>
      </x:c>
      <x:c r="F53" s="15" t="str">
        <x:v>Login</x:v>
      </x:c>
      <x:c r="G53" s="15" t="str">
        <x:v>No pude recuperar mi contraseña y abandoné la compra.</x:v>
      </x:c>
      <x:c r="H53" s="15" t="str">
        <x:v>Mejorar flujo de recuperación de contraseña.</x:v>
      </x:c>
    </x:row>
    <x:row r="54" ht="54" customHeight="1">
      <x:c r="A54" s="15" t="str">
        <x:v>CSAT-053</x:v>
      </x:c>
      <x:c r="B54" s="18" t="n">
        <x:v>46143</x:v>
      </x:c>
      <x:c r="C54" s="15" t="str">
        <x:v>Web</x:v>
      </x:c>
      <x:c r="D54" s="20" t="n">
        <x:v>5</x:v>
      </x:c>
      <x:c r="E54" s="15" t="str">
        <x:v>Positivo</x:v>
      </x:c>
      <x:c r="F54" s="15" t="str">
        <x:v>Búsqueda</x:v>
      </x:c>
      <x:c r="G54" s="15" t="str">
        <x:v>Encontré lo que buscaba usando filtros y orden por precio.</x:v>
      </x:c>
      <x:c r="H54" s="15" t="str">
        <x:v>Mantener ordenamientos útiles.</x:v>
      </x:c>
    </x:row>
    <x:row r="55" ht="54" customHeight="1">
      <x:c r="A55" s="15" t="str">
        <x:v>CSAT-054</x:v>
      </x:c>
      <x:c r="B55" s="18" t="n">
        <x:v>46144</x:v>
      </x:c>
      <x:c r="C55" s="15" t="str">
        <x:v>App</x:v>
      </x:c>
      <x:c r="D55" s="20" t="n">
        <x:v>3</x:v>
      </x:c>
      <x:c r="E55" s="15" t="str">
        <x:v>Neutral</x:v>
      </x:c>
      <x:c r="F55" s="15" t="str">
        <x:v>Disponibilidad</x:v>
      </x:c>
      <x:c r="G55" s="15" t="str">
        <x:v>La experiencia fue aceptable, pero algunos productos no tenían stock.</x:v>
      </x:c>
      <x:c r="H55" s="15" t="str">
        <x:v>Mostrar alternativas cuando no haya stock.</x:v>
      </x:c>
    </x:row>
    <x:row r="56" ht="54" customHeight="1">
      <x:c r="A56" s="15" t="str">
        <x:v>CSAT-055</x:v>
      </x:c>
      <x:c r="B56" s="18" t="n">
        <x:v>46145</x:v>
      </x:c>
      <x:c r="C56" s="15" t="str">
        <x:v>Web</x:v>
      </x:c>
      <x:c r="D56" s="20" t="n">
        <x:v>2</x:v>
      </x:c>
      <x:c r="E56" s="15" t="str">
        <x:v>Negativo</x:v>
      </x:c>
      <x:c r="F56" s="15" t="str">
        <x:v>Precios</x:v>
      </x:c>
      <x:c r="G56" s="15" t="str">
        <x:v>No me quedó claro si el envío era gratis o tenía costo adicional.</x:v>
      </x:c>
      <x:c r="H56" s="15" t="str">
        <x:v>Mostrar umbral y costo de envío anticipadamente.</x:v>
      </x:c>
    </x:row>
    <x:row r="57" ht="54" customHeight="1">
      <x:c r="A57" s="15" t="str">
        <x:v>CSAT-056</x:v>
      </x:c>
      <x:c r="B57" s="18" t="n">
        <x:v>46146</x:v>
      </x:c>
      <x:c r="C57" s="15" t="str">
        <x:v>Web</x:v>
      </x:c>
      <x:c r="D57" s="20" t="n">
        <x:v>5</x:v>
      </x:c>
      <x:c r="E57" s="15" t="str">
        <x:v>Positivo</x:v>
      </x:c>
      <x:c r="F57" s="15" t="str">
        <x:v>Experiencia general</x:v>
      </x:c>
      <x:c r="G57" s="15" t="str">
        <x:v>Todo fue rápido, transparente y sin errores durante la compra.</x:v>
      </x:c>
      <x:c r="H57" s="15" t="str">
        <x:v>Mantener estabilidad del journey.</x:v>
      </x:c>
    </x:row>
    <x:row r="58" ht="54" customHeight="1">
      <x:c r="A58" s="15" t="str">
        <x:v>CSAT-057</x:v>
      </x:c>
      <x:c r="B58" s="18" t="n">
        <x:v>46147</x:v>
      </x:c>
      <x:c r="C58" s="15" t="str">
        <x:v>App</x:v>
      </x:c>
      <x:c r="D58" s="20" t="n">
        <x:v>4</x:v>
      </x:c>
      <x:c r="E58" s="15" t="str">
        <x:v>Positivo</x:v>
      </x:c>
      <x:c r="F58" s="15" t="str">
        <x:v>Checkout</x:v>
      </x:c>
      <x:c r="G58" s="15" t="str">
        <x:v>El pago con billetera digital fue muy práctico.</x:v>
      </x:c>
      <x:c r="H58" s="15" t="str">
        <x:v>Promover métodos rápidos de pago.</x:v>
      </x:c>
    </x:row>
    <x:row r="59" ht="54" customHeight="1">
      <x:c r="A59" s="15" t="str">
        <x:v>CSAT-058</x:v>
      </x:c>
      <x:c r="B59" s="18" t="n">
        <x:v>46148</x:v>
      </x:c>
      <x:c r="C59" s="15" t="str">
        <x:v>Web</x:v>
      </x:c>
      <x:c r="D59" s="20" t="n">
        <x:v>1</x:v>
      </x:c>
      <x:c r="E59" s="15" t="str">
        <x:v>Negativo</x:v>
      </x:c>
      <x:c r="F59" s="15" t="str">
        <x:v>Errores técnicos</x:v>
      </x:c>
      <x:c r="G59" s="15" t="str">
        <x:v>Apareció un error inesperado al confirmar el pedido y no pude continuar.</x:v>
      </x:c>
      <x:c r="H59" s="15" t="str">
        <x:v>Monitorear errores críticos de confirmación.</x:v>
      </x:c>
    </x:row>
    <x:row r="60" ht="54" customHeight="1">
      <x:c r="A60" s="15" t="str">
        <x:v>CSAT-059</x:v>
      </x:c>
      <x:c r="B60" s="18" t="n">
        <x:v>46149</x:v>
      </x:c>
      <x:c r="C60" s="15" t="str">
        <x:v>App</x:v>
      </x:c>
      <x:c r="D60" s="20" t="n">
        <x:v>3</x:v>
      </x:c>
      <x:c r="E60" s="15" t="str">
        <x:v>Neutral</x:v>
      </x:c>
      <x:c r="F60" s="15" t="str">
        <x:v>Imágenes</x:v>
      </x:c>
      <x:c r="G60" s="15" t="str">
        <x:v>Las fotos son buenas, pero sería útil tener videos cortos del producto.</x:v>
      </x:c>
      <x:c r="H60" s="15" t="str">
        <x:v>Evaluar contenido multimedia adicional.</x:v>
      </x:c>
    </x:row>
    <x:row r="61" ht="54" customHeight="1">
      <x:c r="A61" s="15" t="str">
        <x:v>CSAT-060</x:v>
      </x:c>
      <x:c r="B61" s="18" t="n">
        <x:v>46150</x:v>
      </x:c>
      <x:c r="C61" s="15" t="str">
        <x:v>Web</x:v>
      </x:c>
      <x:c r="D61" s="20" t="n">
        <x:v>4</x:v>
      </x:c>
      <x:c r="E61" s="15" t="str">
        <x:v>Positivo</x:v>
      </x:c>
      <x:c r="F61" s="15" t="str">
        <x:v>Soporte</x:v>
      </x:c>
      <x:c r="G61" s="15" t="str">
        <x:v>El chat resolvió mi duda antes de finalizar la compra.</x:v>
      </x:c>
      <x:c r="H61" s="15" t="str">
        <x:v>Mantener soporte visible y rápido.</x:v>
      </x:c>
    </x:row>
  </x:sheetData>
  <x:conditionalFormatting sqref="D2:D61">
    <x:cfRule type="colorScale" priority="1">
      <x:colorScale>
        <x:cfvo type="min"/>
        <x:cfvo type="percentile" val="50"/>
        <x:cfvo type="max"/>
        <x:color rgb="FCA5A5"/>
        <x:color rgb="FEF3C7"/>
        <x:color rgb="BBF7D0"/>
      </x:colorScale>
    </x:cfRule>
  </x:conditionalFormatting>
  <x:conditionalFormatting sqref="E2:E61">
    <x:cfRule type="expression" dxfId="0" priority="2">
      <x:formula>E2="Negativo"</x:formula>
    </x:cfRule>
    <x:cfRule type="expression" dxfId="1" priority="3">
      <x:formula>E2="Neutral"</x:formula>
    </x:cfRule>
    <x:cfRule type="expression" dxfId="2" priority="4">
      <x:formula>E2="Positivo"</x:formula>
    </x:cfRule>
  </x:conditionalFormatting>
  <x:dataValidations count="3">
    <x:dataValidation type="list" sqref="C2:C200">
      <x:formula1>Listas!$C$2:$C$3</x:formula1>
    </x:dataValidation>
    <x:dataValidation type="list" sqref="E2:E200">
      <x:formula1>Listas!$A$2:$A$4</x:formula1>
    </x:dataValidation>
    <x:dataValidation type="list" sqref="F2:F200">
      <x:formula1>Listas!$B$2:$B$39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817d6f25334ab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7" max="7" width="22" hidden="0" customWidth="1"/>
    <x:col min="8" max="8" width="22" hidden="0" customWidth="1"/>
  </x:cols>
  <x:sheetData>
    <x:row r="1" ht="32" customHeight="1">
      <x:c r="A1" s="52" t="str">
        <x:v>Resumen de comentarios CSAT - Ecommerce</x:v>
      </x:c>
      <x:c r="B1" s="53"/>
      <x:c r="C1" s="53"/>
      <x:c r="D1" s="53"/>
      <x:c r="E1" s="53"/>
      <x:c r="F1" s="53"/>
      <x:c r="G1" s="53"/>
      <x:c r="H1" s="53"/>
    </x:row>
    <x:row r="2">
      <x:c r="A2" s="53"/>
      <x:c r="B2" s="53"/>
      <x:c r="C2" s="53"/>
      <x:c r="D2" s="53"/>
      <x:c r="E2" s="53"/>
      <x:c r="F2" s="53"/>
      <x:c r="G2" s="53"/>
      <x:c r="H2" s="53"/>
    </x:row>
    <x:row r="3">
      <x:c r="A3" s="54" t="str">
        <x:v>Total comentarios</x:v>
      </x:c>
      <x:c r="B3" s="54" t="str">
        <x:v>CSAT promedio</x:v>
      </x:c>
      <x:c r="C3" s="54" t="str">
        <x:v>% Comentarios negativos</x:v>
      </x:c>
      <x:c r="D3" s="54" t="str">
        <x:v>% Comentarios positivos</x:v>
      </x:c>
      <x:c r="E3" s="53"/>
      <x:c r="F3" s="53"/>
      <x:c r="G3" s="53"/>
      <x:c r="H3" s="53"/>
    </x:row>
    <x:row r="4" ht="28" customHeight="1">
      <x:c r="A4" s="55" t="n">
        <x:f>COUNTA(Comentarios_CSAT!$A$2:$A$61)</x:f>
        <x:v>60</x:v>
      </x:c>
      <x:c r="B4" s="56" t="n">
        <x:f>AVERAGE(Comentarios_CSAT!$D$2:$D$61)</x:f>
        <x:v>3.1666666666666665</x:v>
      </x:c>
      <x:c r="C4" s="57" t="n">
        <x:f>COUNTIF(Comentarios_CSAT!$E$2:$E$61,"Negativo")/COUNTA(Comentarios_CSAT!$E$2:$E$61)</x:f>
        <x:v>0.35</x:v>
      </x:c>
      <x:c r="D4" s="57" t="n">
        <x:f>COUNTIF(Comentarios_CSAT!$E$2:$E$61,"Positivo")/COUNTA(Comentarios_CSAT!$E$2:$E$61)</x:f>
        <x:v>0.45</x:v>
      </x:c>
      <x:c r="E4" s="53"/>
      <x:c r="F4" s="53"/>
      <x:c r="G4" s="53"/>
      <x:c r="H4" s="53"/>
    </x:row>
    <x:row r="5">
      <x:c r="A5" s="53"/>
      <x:c r="B5" s="53"/>
      <x:c r="C5" s="53"/>
      <x:c r="D5" s="53"/>
      <x:c r="E5" s="53"/>
      <x:c r="F5" s="53"/>
      <x:c r="G5" s="53"/>
      <x:c r="H5" s="53"/>
    </x:row>
    <x:row r="6">
      <x:c r="A6" s="53"/>
      <x:c r="B6" s="53"/>
      <x:c r="C6" s="53"/>
      <x:c r="D6" s="53"/>
      <x:c r="E6" s="53"/>
      <x:c r="F6" s="53"/>
      <x:c r="G6" s="53"/>
      <x:c r="H6" s="53"/>
    </x:row>
    <x:row r="7" ht="24" customHeight="1">
      <x:c r="A7" s="6" t="str">
        <x:v>Sentimiento</x:v>
      </x:c>
      <x:c r="B7" s="6" t="str">
        <x:v>Comentarios</x:v>
      </x:c>
      <x:c r="C7" s="53"/>
      <x:c r="D7" s="6" t="str">
        <x:v>Categoría</x:v>
      </x:c>
      <x:c r="E7" s="6" t="str">
        <x:v>Comentarios</x:v>
      </x:c>
      <x:c r="F7" s="53"/>
      <x:c r="G7" s="6" t="str">
        <x:v>Categoría negativa</x:v>
      </x:c>
      <x:c r="H7" s="6" t="str">
        <x:v>Comentarios negativos</x:v>
      </x:c>
    </x:row>
    <x:row r="8">
      <x:c r="A8" s="53" t="str">
        <x:v>Positivo</x:v>
      </x:c>
      <x:c r="B8" s="53" t="n">
        <x:f>COUNTIF(Comentarios_CSAT!$E$2:$E$61,A8)</x:f>
        <x:v>27</x:v>
      </x:c>
      <x:c r="C8" s="53"/>
      <x:c r="D8" s="53" t="str">
        <x:v>Búsqueda</x:v>
      </x:c>
      <x:c r="E8" s="53" t="n">
        <x:f>COUNTIF(Comentarios_CSAT!$F$2:$F$61,D8)</x:f>
        <x:v>3</x:v>
      </x:c>
      <x:c r="F8" s="53"/>
      <x:c r="G8" s="53" t="str">
        <x:v>Búsqueda</x:v>
      </x:c>
      <x:c r="H8" s="53" t="n">
        <x:f>COUNTIFS(Comentarios_CSAT!$F$2:$F$61,G8,Comentarios_CSAT!$E$2:$E$61,"Negativo")</x:f>
        <x:v>1</x:v>
      </x:c>
    </x:row>
    <x:row r="9">
      <x:c r="A9" s="53" t="str">
        <x:v>Neutral</x:v>
      </x:c>
      <x:c r="B9" s="53" t="n">
        <x:f>COUNTIF(Comentarios_CSAT!$E$2:$E$61,A9)</x:f>
        <x:v>12</x:v>
      </x:c>
      <x:c r="C9" s="53"/>
      <x:c r="D9" s="53" t="str">
        <x:v>Carrito</x:v>
      </x:c>
      <x:c r="E9" s="53" t="n">
        <x:f>COUNTIF(Comentarios_CSAT!$F$2:$F$61,D9)</x:f>
        <x:v>2</x:v>
      </x:c>
      <x:c r="F9" s="53"/>
      <x:c r="G9" s="53" t="str">
        <x:v>Carrito</x:v>
      </x:c>
      <x:c r="H9" s="53" t="n">
        <x:f>COUNTIFS(Comentarios_CSAT!$F$2:$F$61,G9,Comentarios_CSAT!$E$2:$E$61,"Negativo")</x:f>
        <x:v>0</x:v>
      </x:c>
    </x:row>
    <x:row r="10">
      <x:c r="A10" s="53" t="str">
        <x:v>Negativo</x:v>
      </x:c>
      <x:c r="B10" s="53" t="n">
        <x:f>COUNTIF(Comentarios_CSAT!$E$2:$E$61,A10)</x:f>
        <x:v>21</x:v>
      </x:c>
      <x:c r="C10" s="53"/>
      <x:c r="D10" s="53" t="str">
        <x:v>Checkout</x:v>
      </x:c>
      <x:c r="E10" s="53" t="n">
        <x:f>COUNTIF(Comentarios_CSAT!$F$2:$F$61,D10)</x:f>
        <x:v>5</x:v>
      </x:c>
      <x:c r="F10" s="53"/>
      <x:c r="G10" s="53" t="str">
        <x:v>Checkout</x:v>
      </x:c>
      <x:c r="H10" s="53" t="n">
        <x:f>COUNTIFS(Comentarios_CSAT!$F$2:$F$61,G10,Comentarios_CSAT!$E$2:$E$61,"Negativo")</x:f>
        <x:v>2</x:v>
      </x:c>
    </x:row>
    <x:row r="11">
      <x:c r="A11" s="53"/>
      <x:c r="B11" s="53"/>
      <x:c r="C11" s="53"/>
      <x:c r="D11" s="53" t="str">
        <x:v>Comparación</x:v>
      </x:c>
      <x:c r="E11" s="53" t="n">
        <x:f>COUNTIF(Comentarios_CSAT!$F$2:$F$61,D11)</x:f>
        <x:v>1</x:v>
      </x:c>
      <x:c r="F11" s="53"/>
      <x:c r="G11" s="53" t="str">
        <x:v>Comparación</x:v>
      </x:c>
      <x:c r="H11" s="53" t="n">
        <x:f>COUNTIFS(Comentarios_CSAT!$F$2:$F$61,G11,Comentarios_CSAT!$E$2:$E$61,"Negativo")</x:f>
        <x:v>0</x:v>
      </x:c>
    </x:row>
    <x:row r="12">
      <x:c r="A12" s="53"/>
      <x:c r="B12" s="53"/>
      <x:c r="C12" s="53"/>
      <x:c r="D12" s="53" t="str">
        <x:v>Confianza</x:v>
      </x:c>
      <x:c r="E12" s="53" t="n">
        <x:f>COUNTIF(Comentarios_CSAT!$F$2:$F$61,D12)</x:f>
        <x:v>1</x:v>
      </x:c>
      <x:c r="F12" s="53"/>
      <x:c r="G12" s="53" t="str">
        <x:v>Confianza</x:v>
      </x:c>
      <x:c r="H12" s="53" t="n">
        <x:f>COUNTIFS(Comentarios_CSAT!$F$2:$F$61,G12,Comentarios_CSAT!$E$2:$E$61,"Negativo")</x:f>
        <x:v>0</x:v>
      </x:c>
    </x:row>
    <x:row r="13">
      <x:c r="A13" s="53"/>
      <x:c r="B13" s="53"/>
      <x:c r="C13" s="53"/>
      <x:c r="D13" s="53" t="str">
        <x:v>Confirmación</x:v>
      </x:c>
      <x:c r="E13" s="53" t="n">
        <x:f>COUNTIF(Comentarios_CSAT!$F$2:$F$61,D13)</x:f>
        <x:v>1</x:v>
      </x:c>
      <x:c r="F13" s="53"/>
      <x:c r="G13" s="53" t="str">
        <x:v>Confirmación</x:v>
      </x:c>
      <x:c r="H13" s="53" t="n">
        <x:f>COUNTIFS(Comentarios_CSAT!$F$2:$F$61,G13,Comentarios_CSAT!$E$2:$E$61,"Negativo")</x:f>
        <x:v>0</x:v>
      </x:c>
    </x:row>
    <x:row r="14">
      <x:c r="A14" s="53"/>
      <x:c r="B14" s="53"/>
      <x:c r="C14" s="53"/>
      <x:c r="D14" s="53" t="str">
        <x:v>Contenido</x:v>
      </x:c>
      <x:c r="E14" s="53" t="n">
        <x:f>COUNTIF(Comentarios_CSAT!$F$2:$F$61,D14)</x:f>
        <x:v>1</x:v>
      </x:c>
      <x:c r="F14" s="53"/>
      <x:c r="G14" s="53" t="str">
        <x:v>Contenido</x:v>
      </x:c>
      <x:c r="H14" s="53" t="n">
        <x:f>COUNTIFS(Comentarios_CSAT!$F$2:$F$61,G14,Comentarios_CSAT!$E$2:$E$61,"Negativo")</x:f>
        <x:v>0</x:v>
      </x:c>
    </x:row>
    <x:row r="15">
      <x:c r="A15" s="53"/>
      <x:c r="B15" s="53"/>
      <x:c r="C15" s="53"/>
      <x:c r="D15" s="53" t="str">
        <x:v>Cupones</x:v>
      </x:c>
      <x:c r="E15" s="53" t="n">
        <x:f>COUNTIF(Comentarios_CSAT!$F$2:$F$61,D15)</x:f>
        <x:v>1</x:v>
      </x:c>
      <x:c r="F15" s="53"/>
      <x:c r="G15" s="53" t="str">
        <x:v>Cupones</x:v>
      </x:c>
      <x:c r="H15" s="53" t="n">
        <x:f>COUNTIFS(Comentarios_CSAT!$F$2:$F$61,G15,Comentarios_CSAT!$E$2:$E$61,"Negativo")</x:f>
        <x:v>1</x:v>
      </x:c>
    </x:row>
    <x:row r="16">
      <x:c r="A16" s="53"/>
      <x:c r="B16" s="53"/>
      <x:c r="C16" s="53"/>
      <x:c r="D16" s="53" t="str">
        <x:v>Código postal</x:v>
      </x:c>
      <x:c r="E16" s="53" t="n">
        <x:f>COUNTIF(Comentarios_CSAT!$F$2:$F$61,D16)</x:f>
        <x:v>1</x:v>
      </x:c>
      <x:c r="F16" s="53"/>
      <x:c r="G16" s="53" t="str">
        <x:v>Código postal</x:v>
      </x:c>
      <x:c r="H16" s="53" t="n">
        <x:f>COUNTIFS(Comentarios_CSAT!$F$2:$F$61,G16,Comentarios_CSAT!$E$2:$E$61,"Negativo")</x:f>
        <x:v>1</x:v>
      </x:c>
    </x:row>
    <x:row r="17">
      <x:c r="A17" s="53"/>
      <x:c r="B17" s="53"/>
      <x:c r="C17" s="53"/>
      <x:c r="D17" s="53" t="str">
        <x:v>Devoluciones</x:v>
      </x:c>
      <x:c r="E17" s="53" t="n">
        <x:f>COUNTIF(Comentarios_CSAT!$F$2:$F$61,D17)</x:f>
        <x:v>1</x:v>
      </x:c>
      <x:c r="F17" s="53"/>
      <x:c r="G17" s="53" t="str">
        <x:v>Devoluciones</x:v>
      </x:c>
      <x:c r="H17" s="53" t="n">
        <x:f>COUNTIFS(Comentarios_CSAT!$F$2:$F$61,G17,Comentarios_CSAT!$E$2:$E$61,"Negativo")</x:f>
        <x:v>0</x:v>
      </x:c>
    </x:row>
    <x:row r="18">
      <x:c r="A18" s="53"/>
      <x:c r="B18" s="53"/>
      <x:c r="C18" s="53"/>
      <x:c r="D18" s="53" t="str">
        <x:v>Dirección</x:v>
      </x:c>
      <x:c r="E18" s="53" t="n">
        <x:f>COUNTIF(Comentarios_CSAT!$F$2:$F$61,D18)</x:f>
        <x:v>1</x:v>
      </x:c>
      <x:c r="F18" s="53"/>
      <x:c r="G18" s="53" t="str">
        <x:v>Dirección</x:v>
      </x:c>
      <x:c r="H18" s="53" t="n">
        <x:f>COUNTIFS(Comentarios_CSAT!$F$2:$F$61,G18,Comentarios_CSAT!$E$2:$E$61,"Negativo")</x:f>
        <x:v>0</x:v>
      </x:c>
    </x:row>
    <x:row r="19">
      <x:c r="A19" s="53"/>
      <x:c r="B19" s="53"/>
      <x:c r="C19" s="53"/>
      <x:c r="D19" s="53" t="str">
        <x:v>Diseño</x:v>
      </x:c>
      <x:c r="E19" s="53" t="n">
        <x:f>COUNTIF(Comentarios_CSAT!$F$2:$F$61,D19)</x:f>
        <x:v>1</x:v>
      </x:c>
      <x:c r="F19" s="53"/>
      <x:c r="G19" s="53" t="str">
        <x:v>Diseño</x:v>
      </x:c>
      <x:c r="H19" s="53" t="n">
        <x:f>COUNTIFS(Comentarios_CSAT!$F$2:$F$61,G19,Comentarios_CSAT!$E$2:$E$61,"Negativo")</x:f>
        <x:v>0</x:v>
      </x:c>
    </x:row>
    <x:row r="20">
      <x:c r="A20" s="53"/>
      <x:c r="B20" s="53"/>
      <x:c r="C20" s="53"/>
      <x:c r="D20" s="53" t="str">
        <x:v>Disponibilidad</x:v>
      </x:c>
      <x:c r="E20" s="53" t="n">
        <x:f>COUNTIF(Comentarios_CSAT!$F$2:$F$61,D20)</x:f>
        <x:v>2</x:v>
      </x:c>
      <x:c r="F20" s="53"/>
      <x:c r="G20" s="53" t="str">
        <x:v>Disponibilidad</x:v>
      </x:c>
      <x:c r="H20" s="53" t="n">
        <x:f>COUNTIFS(Comentarios_CSAT!$F$2:$F$61,G20,Comentarios_CSAT!$E$2:$E$61,"Negativo")</x:f>
        <x:v>1</x:v>
      </x:c>
    </x:row>
    <x:row r="21">
      <x:c r="A21" s="53"/>
      <x:c r="B21" s="53"/>
      <x:c r="C21" s="53"/>
      <x:c r="D21" s="53" t="str">
        <x:v>Entrega</x:v>
      </x:c>
      <x:c r="E21" s="53" t="n">
        <x:f>COUNTIF(Comentarios_CSAT!$F$2:$F$61,D21)</x:f>
        <x:v>1</x:v>
      </x:c>
      <x:c r="F21" s="53"/>
      <x:c r="G21" s="53" t="str">
        <x:v>Entrega</x:v>
      </x:c>
      <x:c r="H21" s="53" t="n">
        <x:f>COUNTIFS(Comentarios_CSAT!$F$2:$F$61,G21,Comentarios_CSAT!$E$2:$E$61,"Negativo")</x:f>
        <x:v>0</x:v>
      </x:c>
    </x:row>
    <x:row r="22">
      <x:c r="A22" s="53"/>
      <x:c r="B22" s="53"/>
      <x:c r="C22" s="53"/>
      <x:c r="D22" s="53" t="str">
        <x:v>Envío</x:v>
      </x:c>
      <x:c r="E22" s="53" t="n">
        <x:f>COUNTIF(Comentarios_CSAT!$F$2:$F$61,D22)</x:f>
        <x:v>2</x:v>
      </x:c>
      <x:c r="F22" s="53"/>
      <x:c r="G22" s="53" t="str">
        <x:v>Envío</x:v>
      </x:c>
      <x:c r="H22" s="53" t="n">
        <x:f>COUNTIFS(Comentarios_CSAT!$F$2:$F$61,G22,Comentarios_CSAT!$E$2:$E$61,"Negativo")</x:f>
        <x:v>0</x:v>
      </x:c>
    </x:row>
    <x:row r="23">
      <x:c r="A23" s="53"/>
      <x:c r="B23" s="53"/>
      <x:c r="C23" s="53"/>
      <x:c r="D23" s="53" t="str">
        <x:v>Errores técnicos</x:v>
      </x:c>
      <x:c r="E23" s="53" t="n">
        <x:f>COUNTIF(Comentarios_CSAT!$F$2:$F$61,D23)</x:f>
        <x:v>2</x:v>
      </x:c>
      <x:c r="F23" s="53"/>
      <x:c r="G23" s="53" t="str">
        <x:v>Errores técnicos</x:v>
      </x:c>
      <x:c r="H23" s="53" t="n">
        <x:f>COUNTIFS(Comentarios_CSAT!$F$2:$F$61,G23,Comentarios_CSAT!$E$2:$E$61,"Negativo")</x:f>
        <x:v>2</x:v>
      </x:c>
    </x:row>
    <x:row r="24">
      <x:c r="A24" s="53"/>
      <x:c r="B24" s="53"/>
      <x:c r="C24" s="53"/>
      <x:c r="D24" s="53" t="str">
        <x:v>Experiencia general</x:v>
      </x:c>
      <x:c r="E24" s="53" t="n">
        <x:f>COUNTIF(Comentarios_CSAT!$F$2:$F$61,D24)</x:f>
        <x:v>2</x:v>
      </x:c>
      <x:c r="F24" s="53"/>
      <x:c r="G24" s="53" t="str">
        <x:v>Experiencia general</x:v>
      </x:c>
      <x:c r="H24" s="53" t="n">
        <x:f>COUNTIFS(Comentarios_CSAT!$F$2:$F$61,G24,Comentarios_CSAT!$E$2:$E$61,"Negativo")</x:f>
        <x:v>0</x:v>
      </x:c>
    </x:row>
    <x:row r="25">
      <x:c r="A25" s="53"/>
      <x:c r="B25" s="53"/>
      <x:c r="C25" s="53"/>
      <x:c r="D25" s="53" t="str">
        <x:v>Favoritos</x:v>
      </x:c>
      <x:c r="E25" s="53" t="n">
        <x:f>COUNTIF(Comentarios_CSAT!$F$2:$F$61,D25)</x:f>
        <x:v>1</x:v>
      </x:c>
      <x:c r="F25" s="53"/>
      <x:c r="G25" s="53" t="str">
        <x:v>Favoritos</x:v>
      </x:c>
      <x:c r="H25" s="53" t="n">
        <x:f>COUNTIFS(Comentarios_CSAT!$F$2:$F$61,G25,Comentarios_CSAT!$E$2:$E$61,"Negativo")</x:f>
        <x:v>0</x:v>
      </x:c>
    </x:row>
    <x:row r="26">
      <x:c r="A26" s="53"/>
      <x:c r="B26" s="53"/>
      <x:c r="C26" s="53"/>
      <x:c r="D26" s="53" t="str">
        <x:v>Filtros</x:v>
      </x:c>
      <x:c r="E26" s="53" t="n">
        <x:f>COUNTIF(Comentarios_CSAT!$F$2:$F$61,D26)</x:f>
        <x:v>1</x:v>
      </x:c>
      <x:c r="F26" s="53"/>
      <x:c r="G26" s="53" t="str">
        <x:v>Filtros</x:v>
      </x:c>
      <x:c r="H26" s="53" t="n">
        <x:f>COUNTIFS(Comentarios_CSAT!$F$2:$F$61,G26,Comentarios_CSAT!$E$2:$E$61,"Negativo")</x:f>
        <x:v>0</x:v>
      </x:c>
    </x:row>
    <x:row r="27">
      <x:c r="A27" s="53"/>
      <x:c r="B27" s="53"/>
      <x:c r="C27" s="53"/>
      <x:c r="D27" s="53" t="str">
        <x:v>Imágenes</x:v>
      </x:c>
      <x:c r="E27" s="53" t="n">
        <x:f>COUNTIF(Comentarios_CSAT!$F$2:$F$61,D27)</x:f>
        <x:v>2</x:v>
      </x:c>
      <x:c r="F27" s="53"/>
      <x:c r="G27" s="53" t="str">
        <x:v>Imágenes</x:v>
      </x:c>
      <x:c r="H27" s="53" t="n">
        <x:f>COUNTIFS(Comentarios_CSAT!$F$2:$F$61,G27,Comentarios_CSAT!$E$2:$E$61,"Negativo")</x:f>
        <x:v>0</x:v>
      </x:c>
    </x:row>
    <x:row r="28">
      <x:c r="A28" s="53"/>
      <x:c r="B28" s="53"/>
      <x:c r="C28" s="53"/>
      <x:c r="D28" s="53" t="str">
        <x:v>Información de producto</x:v>
      </x:c>
      <x:c r="E28" s="53" t="n">
        <x:f>COUNTIF(Comentarios_CSAT!$F$2:$F$61,D28)</x:f>
        <x:v>1</x:v>
      </x:c>
      <x:c r="F28" s="53"/>
      <x:c r="G28" s="53" t="str">
        <x:v>Información de producto</x:v>
      </x:c>
      <x:c r="H28" s="53" t="n">
        <x:f>COUNTIFS(Comentarios_CSAT!$F$2:$F$61,G28,Comentarios_CSAT!$E$2:$E$61,"Negativo")</x:f>
        <x:v>0</x:v>
      </x:c>
    </x:row>
    <x:row r="29">
      <x:c r="A29" s="53"/>
      <x:c r="B29" s="53"/>
      <x:c r="C29" s="53"/>
      <x:c r="D29" s="53" t="str">
        <x:v>Inventario</x:v>
      </x:c>
      <x:c r="E29" s="53" t="n">
        <x:f>COUNTIF(Comentarios_CSAT!$F$2:$F$61,D29)</x:f>
        <x:v>1</x:v>
      </x:c>
      <x:c r="F29" s="53"/>
      <x:c r="G29" s="53" t="str">
        <x:v>Inventario</x:v>
      </x:c>
      <x:c r="H29" s="53" t="n">
        <x:f>COUNTIFS(Comentarios_CSAT!$F$2:$F$61,G29,Comentarios_CSAT!$E$2:$E$61,"Negativo")</x:f>
        <x:v>1</x:v>
      </x:c>
    </x:row>
    <x:row r="30">
      <x:c r="A30" s="53"/>
      <x:c r="B30" s="53"/>
      <x:c r="C30" s="53"/>
      <x:c r="D30" s="53" t="str">
        <x:v>Login</x:v>
      </x:c>
      <x:c r="E30" s="53" t="n">
        <x:f>COUNTIF(Comentarios_CSAT!$F$2:$F$61,D30)</x:f>
        <x:v>2</x:v>
      </x:c>
      <x:c r="F30" s="53"/>
      <x:c r="G30" s="53" t="str">
        <x:v>Login</x:v>
      </x:c>
      <x:c r="H30" s="53" t="n">
        <x:f>COUNTIFS(Comentarios_CSAT!$F$2:$F$61,G30,Comentarios_CSAT!$E$2:$E$61,"Negativo")</x:f>
        <x:v>2</x:v>
      </x:c>
    </x:row>
    <x:row r="31">
      <x:c r="A31" s="53"/>
      <x:c r="B31" s="53"/>
      <x:c r="C31" s="53"/>
      <x:c r="D31" s="53" t="str">
        <x:v>Mobile</x:v>
      </x:c>
      <x:c r="E31" s="53" t="n">
        <x:f>COUNTIF(Comentarios_CSAT!$F$2:$F$61,D31)</x:f>
        <x:v>1</x:v>
      </x:c>
      <x:c r="F31" s="53"/>
      <x:c r="G31" s="53" t="str">
        <x:v>Mobile</x:v>
      </x:c>
      <x:c r="H31" s="53" t="n">
        <x:f>COUNTIFS(Comentarios_CSAT!$F$2:$F$61,G31,Comentarios_CSAT!$E$2:$E$61,"Negativo")</x:f>
        <x:v>0</x:v>
      </x:c>
    </x:row>
    <x:row r="32">
      <x:c r="A32" s="53"/>
      <x:c r="B32" s="53"/>
      <x:c r="C32" s="53"/>
      <x:c r="D32" s="53" t="str">
        <x:v>Método de pago</x:v>
      </x:c>
      <x:c r="E32" s="53" t="n">
        <x:f>COUNTIF(Comentarios_CSAT!$F$2:$F$61,D32)</x:f>
        <x:v>3</x:v>
      </x:c>
      <x:c r="F32" s="53"/>
      <x:c r="G32" s="53" t="str">
        <x:v>Método de pago</x:v>
      </x:c>
      <x:c r="H32" s="53" t="n">
        <x:f>COUNTIFS(Comentarios_CSAT!$F$2:$F$61,G32,Comentarios_CSAT!$E$2:$E$61,"Negativo")</x:f>
        <x:v>2</x:v>
      </x:c>
    </x:row>
    <x:row r="33">
      <x:c r="A33" s="53"/>
      <x:c r="B33" s="53"/>
      <x:c r="C33" s="53"/>
      <x:c r="D33" s="53" t="str">
        <x:v>Navegación</x:v>
      </x:c>
      <x:c r="E33" s="53" t="n">
        <x:f>COUNTIF(Comentarios_CSAT!$F$2:$F$61,D33)</x:f>
        <x:v>1</x:v>
      </x:c>
      <x:c r="F33" s="53"/>
      <x:c r="G33" s="53" t="str">
        <x:v>Navegación</x:v>
      </x:c>
      <x:c r="H33" s="53" t="n">
        <x:f>COUNTIFS(Comentarios_CSAT!$F$2:$F$61,G33,Comentarios_CSAT!$E$2:$E$61,"Negativo")</x:f>
        <x:v>0</x:v>
      </x:c>
    </x:row>
    <x:row r="34" ht="44" customHeight="1">
      <x:c r="A34" s="65" t="str">
        <x:v>Uso sugerido: este archivo sirve para probar resumen, traducción, clasificación de texto y análisis de sentimiento. La hoja Comentarios_CSAT contiene la base de comentarios y la hoja Resumen tiene métricas automáticas.</x:v>
      </x:c>
      <x:c r="B34" s="53"/>
      <x:c r="C34" s="53"/>
      <x:c r="D34" s="53" t="str">
        <x:v>Notificaciones</x:v>
      </x:c>
      <x:c r="E34" s="53" t="n">
        <x:f>COUNTIF(Comentarios_CSAT!$F$2:$F$61,D34)</x:f>
        <x:v>1</x:v>
      </x:c>
      <x:c r="F34" s="53"/>
      <x:c r="G34" s="53" t="str">
        <x:v>Notificaciones</x:v>
      </x:c>
      <x:c r="H34" s="53" t="n">
        <x:f>COUNTIFS(Comentarios_CSAT!$F$2:$F$61,G34,Comentarios_CSAT!$E$2:$E$61,"Negativo")</x:f>
        <x:v>0</x:v>
      </x:c>
    </x:row>
    <x:row r="35">
      <x:c r="A35" s="53"/>
      <x:c r="B35" s="53"/>
      <x:c r="C35" s="53"/>
      <x:c r="D35" s="53" t="str">
        <x:v>Performance</x:v>
      </x:c>
      <x:c r="E35" s="53" t="n">
        <x:f>COUNTIF(Comentarios_CSAT!$F$2:$F$61,D35)</x:f>
        <x:v>3</x:v>
      </x:c>
      <x:c r="F35" s="53"/>
      <x:c r="G35" s="53" t="str">
        <x:v>Performance</x:v>
      </x:c>
      <x:c r="H35" s="53" t="n">
        <x:f>COUNTIFS(Comentarios_CSAT!$F$2:$F$61,G35,Comentarios_CSAT!$E$2:$E$61,"Negativo")</x:f>
        <x:v>3</x:v>
      </x:c>
    </x:row>
    <x:row r="36">
      <x:c r="A36" s="53"/>
      <x:c r="B36" s="53"/>
      <x:c r="C36" s="53"/>
      <x:c r="D36" s="53" t="str">
        <x:v>Precios</x:v>
      </x:c>
      <x:c r="E36" s="53" t="n">
        <x:f>COUNTIF(Comentarios_CSAT!$F$2:$F$61,D36)</x:f>
        <x:v>2</x:v>
      </x:c>
      <x:c r="F36" s="53"/>
      <x:c r="G36" s="53" t="str">
        <x:v>Precios</x:v>
      </x:c>
      <x:c r="H36" s="53" t="n">
        <x:f>COUNTIFS(Comentarios_CSAT!$F$2:$F$61,G36,Comentarios_CSAT!$E$2:$E$61,"Negativo")</x:f>
        <x:v>2</x:v>
      </x:c>
    </x:row>
    <x:row r="37">
      <x:c r="A37" s="53"/>
      <x:c r="B37" s="53"/>
      <x:c r="C37" s="53"/>
      <x:c r="D37" s="53" t="str">
        <x:v>Producto</x:v>
      </x:c>
      <x:c r="E37" s="53" t="n">
        <x:f>COUNTIF(Comentarios_CSAT!$F$2:$F$61,D37)</x:f>
        <x:v>1</x:v>
      </x:c>
      <x:c r="F37" s="53"/>
      <x:c r="G37" s="53" t="str">
        <x:v>Producto</x:v>
      </x:c>
      <x:c r="H37" s="53" t="n">
        <x:f>COUNTIFS(Comentarios_CSAT!$F$2:$F$61,G37,Comentarios_CSAT!$E$2:$E$61,"Negativo")</x:f>
        <x:v>0</x:v>
      </x:c>
    </x:row>
    <x:row r="38">
      <x:c r="A38" s="53"/>
      <x:c r="B38" s="53"/>
      <x:c r="C38" s="53"/>
      <x:c r="D38" s="53" t="str">
        <x:v>Promociones</x:v>
      </x:c>
      <x:c r="E38" s="53" t="n">
        <x:f>COUNTIF(Comentarios_CSAT!$F$2:$F$61,D38)</x:f>
        <x:v>3</x:v>
      </x:c>
      <x:c r="F38" s="53"/>
      <x:c r="G38" s="53" t="str">
        <x:v>Promociones</x:v>
      </x:c>
      <x:c r="H38" s="53" t="n">
        <x:f>COUNTIFS(Comentarios_CSAT!$F$2:$F$61,G38,Comentarios_CSAT!$E$2:$E$61,"Negativo")</x:f>
        <x:v>1</x:v>
      </x:c>
    </x:row>
    <x:row r="39">
      <x:c r="A39" s="53"/>
      <x:c r="B39" s="53"/>
      <x:c r="C39" s="53"/>
      <x:c r="D39" s="53" t="str">
        <x:v>Recomendaciones</x:v>
      </x:c>
      <x:c r="E39" s="53" t="n">
        <x:f>COUNTIF(Comentarios_CSAT!$F$2:$F$61,D39)</x:f>
        <x:v>1</x:v>
      </x:c>
      <x:c r="F39" s="53"/>
      <x:c r="G39" s="53" t="str">
        <x:v>Recomendaciones</x:v>
      </x:c>
      <x:c r="H39" s="53" t="n">
        <x:f>COUNTIFS(Comentarios_CSAT!$F$2:$F$61,G39,Comentarios_CSAT!$E$2:$E$61,"Negativo")</x:f>
        <x:v>0</x:v>
      </x:c>
    </x:row>
    <x:row r="40">
      <x:c r="A40" s="53"/>
      <x:c r="B40" s="53"/>
      <x:c r="C40" s="53"/>
      <x:c r="D40" s="53" t="str">
        <x:v>Registro</x:v>
      </x:c>
      <x:c r="E40" s="53" t="n">
        <x:f>COUNTIF(Comentarios_CSAT!$F$2:$F$61,D40)</x:f>
        <x:v>1</x:v>
      </x:c>
      <x:c r="F40" s="53"/>
      <x:c r="G40" s="53" t="str">
        <x:v>Registro</x:v>
      </x:c>
      <x:c r="H40" s="53" t="n">
        <x:f>COUNTIFS(Comentarios_CSAT!$F$2:$F$61,G40,Comentarios_CSAT!$E$2:$E$61,"Negativo")</x:f>
        <x:v>1</x:v>
      </x:c>
    </x:row>
    <x:row r="41">
      <x:c r="D41" t="str">
        <x:v>Reseñas</x:v>
      </x:c>
      <x:c r="E41" t="n">
        <x:f>COUNTIF(Comentarios_CSAT!$F$2:$F$61,D41)</x:f>
        <x:v>1</x:v>
      </x:c>
      <x:c r="G41" t="str">
        <x:v>Reseñas</x:v>
      </x:c>
      <x:c r="H41" t="n">
        <x:f>COUNTIFS(Comentarios_CSAT!$F$2:$F$61,G41,Comentarios_CSAT!$E$2:$E$61,"Negativo")</x:f>
        <x:v>0</x:v>
      </x:c>
    </x:row>
    <x:row r="42">
      <x:c r="D42" t="str">
        <x:v>Resumen de compra</x:v>
      </x:c>
      <x:c r="E42" t="n">
        <x:f>COUNTIF(Comentarios_CSAT!$F$2:$F$61,D42)</x:f>
        <x:v>1</x:v>
      </x:c>
      <x:c r="G42" t="str">
        <x:v>Resumen de compra</x:v>
      </x:c>
      <x:c r="H42" t="n">
        <x:f>COUNTIFS(Comentarios_CSAT!$F$2:$F$61,G42,Comentarios_CSAT!$E$2:$E$61,"Negativo")</x:f>
        <x:v>0</x:v>
      </x:c>
    </x:row>
    <x:row r="43">
      <x:c r="D43" t="str">
        <x:v>Soporte</x:v>
      </x:c>
      <x:c r="E43" t="n">
        <x:f>COUNTIF(Comentarios_CSAT!$F$2:$F$61,D43)</x:f>
        <x:v>3</x:v>
      </x:c>
      <x:c r="G43" t="str">
        <x:v>Soporte</x:v>
      </x:c>
      <x:c r="H43" t="n">
        <x:f>COUNTIFS(Comentarios_CSAT!$F$2:$F$61,G43,Comentarios_CSAT!$E$2:$E$61,"Negativo")</x:f>
        <x:v>1</x:v>
      </x:c>
    </x:row>
    <x:row r="44">
      <x:c r="D44" t="str">
        <x:v>Usabilidad</x:v>
      </x:c>
      <x:c r="E44" t="n">
        <x:f>COUNTIF(Comentarios_CSAT!$F$2:$F$61,D44)</x:f>
        <x:v>1</x:v>
      </x:c>
      <x:c r="G44" t="str">
        <x:v>Usabilidad</x:v>
      </x:c>
      <x:c r="H44" t="n">
        <x:f>COUNTIFS(Comentarios_CSAT!$F$2:$F$61,G44,Comentarios_CSAT!$E$2:$E$61,"Negativo")</x:f>
        <x:v>0</x:v>
      </x:c>
    </x:row>
    <x:row r="45">
      <x:c r="D45" t="str">
        <x:v>Velocidad</x:v>
      </x:c>
      <x:c r="E45" t="n">
        <x:f>COUNTIF(Comentarios_CSAT!$F$2:$F$61,D45)</x:f>
        <x:v>1</x:v>
      </x:c>
      <x:c r="G45" t="str">
        <x:v>Velocidad</x:v>
      </x:c>
      <x:c r="H45" t="n">
        <x:f>COUNTIFS(Comentarios_CSAT!$F$2:$F$61,G45,Comentarios_CSAT!$E$2:$E$61,"Negativo")</x:f>
        <x:v>0</x:v>
      </x:c>
    </x:row>
  </x:sheetData>
  <x:mergeCells>
    <x:mergeCell ref="A1:H1"/>
    <x:mergeCell ref="A34:H34"/>
  </x:mergeCells>
  <x:pageMargins left="0.7" right="0.7" top="0.75" bottom="0.75" header="0.3" footer="0.3"/>
  <x:drawing xmlns:r="http://schemas.openxmlformats.org/officeDocument/2006/relationships" r:id="Rce0d49a5bd724783"/>
  <x:tableParts count="3">
    <x:tablePart xmlns:r="http://schemas.openxmlformats.org/officeDocument/2006/relationships" r:id="Ra44d273959c54d07"/>
    <x:tablePart xmlns:r="http://schemas.openxmlformats.org/officeDocument/2006/relationships" r:id="Rb78a830e1b2b42cf"/>
    <x:tablePart xmlns:r="http://schemas.openxmlformats.org/officeDocument/2006/relationships" r:id="R954a5a75fdd145e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24" customHeight="1">
      <x:c r="A1" s="6" t="str">
        <x:v>Sentimientos</x:v>
      </x:c>
      <x:c r="B1" s="6" t="str">
        <x:v>Categorías</x:v>
      </x:c>
      <x:c r="C1" s="6" t="str">
        <x:v>Canales</x:v>
      </x:c>
    </x:row>
    <x:row r="2">
      <x:c r="A2" t="str">
        <x:v>Positivo</x:v>
      </x:c>
      <x:c r="B2" t="str">
        <x:v>Búsqueda</x:v>
      </x:c>
      <x:c r="C2" t="str">
        <x:v>Web</x:v>
      </x:c>
    </x:row>
    <x:row r="3">
      <x:c r="A3" t="str">
        <x:v>Neutral</x:v>
      </x:c>
      <x:c r="B3" t="str">
        <x:v>Carrito</x:v>
      </x:c>
      <x:c r="C3" t="str">
        <x:v>App</x:v>
      </x:c>
    </x:row>
    <x:row r="4">
      <x:c r="A4" t="str">
        <x:v>Negativo</x:v>
      </x:c>
      <x:c r="B4" t="str">
        <x:v>Checkout</x:v>
      </x:c>
    </x:row>
    <x:row r="5">
      <x:c r="B5" t="str">
        <x:v>Comparación</x:v>
      </x:c>
    </x:row>
    <x:row r="6">
      <x:c r="B6" t="str">
        <x:v>Confianza</x:v>
      </x:c>
    </x:row>
    <x:row r="7">
      <x:c r="B7" t="str">
        <x:v>Confirmación</x:v>
      </x:c>
    </x:row>
    <x:row r="8">
      <x:c r="B8" t="str">
        <x:v>Contenido</x:v>
      </x:c>
    </x:row>
    <x:row r="9">
      <x:c r="B9" t="str">
        <x:v>Cupones</x:v>
      </x:c>
    </x:row>
    <x:row r="10">
      <x:c r="B10" t="str">
        <x:v>Código postal</x:v>
      </x:c>
    </x:row>
    <x:row r="11">
      <x:c r="B11" t="str">
        <x:v>Devoluciones</x:v>
      </x:c>
    </x:row>
    <x:row r="12">
      <x:c r="B12" t="str">
        <x:v>Dirección</x:v>
      </x:c>
    </x:row>
    <x:row r="13">
      <x:c r="B13" t="str">
        <x:v>Diseño</x:v>
      </x:c>
    </x:row>
    <x:row r="14">
      <x:c r="B14" t="str">
        <x:v>Disponibilidad</x:v>
      </x:c>
    </x:row>
    <x:row r="15">
      <x:c r="B15" t="str">
        <x:v>Entrega</x:v>
      </x:c>
    </x:row>
    <x:row r="16">
      <x:c r="B16" t="str">
        <x:v>Envío</x:v>
      </x:c>
    </x:row>
    <x:row r="17">
      <x:c r="B17" t="str">
        <x:v>Errores técnicos</x:v>
      </x:c>
    </x:row>
    <x:row r="18">
      <x:c r="B18" t="str">
        <x:v>Experiencia general</x:v>
      </x:c>
    </x:row>
    <x:row r="19">
      <x:c r="B19" t="str">
        <x:v>Favoritos</x:v>
      </x:c>
    </x:row>
    <x:row r="20">
      <x:c r="B20" t="str">
        <x:v>Filtros</x:v>
      </x:c>
    </x:row>
    <x:row r="21">
      <x:c r="B21" t="str">
        <x:v>Imágenes</x:v>
      </x:c>
    </x:row>
    <x:row r="22">
      <x:c r="B22" t="str">
        <x:v>Información de producto</x:v>
      </x:c>
    </x:row>
    <x:row r="23">
      <x:c r="B23" t="str">
        <x:v>Inventario</x:v>
      </x:c>
    </x:row>
    <x:row r="24">
      <x:c r="B24" t="str">
        <x:v>Login</x:v>
      </x:c>
    </x:row>
    <x:row r="25">
      <x:c r="B25" t="str">
        <x:v>Mobile</x:v>
      </x:c>
    </x:row>
    <x:row r="26">
      <x:c r="B26" t="str">
        <x:v>Método de pago</x:v>
      </x:c>
    </x:row>
    <x:row r="27">
      <x:c r="B27" t="str">
        <x:v>Navegación</x:v>
      </x:c>
    </x:row>
    <x:row r="28">
      <x:c r="B28" t="str">
        <x:v>Notificaciones</x:v>
      </x:c>
    </x:row>
    <x:row r="29">
      <x:c r="B29" t="str">
        <x:v>Performance</x:v>
      </x:c>
    </x:row>
    <x:row r="30">
      <x:c r="B30" t="str">
        <x:v>Precios</x:v>
      </x:c>
    </x:row>
    <x:row r="31">
      <x:c r="B31" t="str">
        <x:v>Producto</x:v>
      </x:c>
    </x:row>
    <x:row r="32">
      <x:c r="B32" t="str">
        <x:v>Promociones</x:v>
      </x:c>
    </x:row>
    <x:row r="33">
      <x:c r="B33" t="str">
        <x:v>Recomendaciones</x:v>
      </x:c>
    </x:row>
    <x:row r="34">
      <x:c r="B34" t="str">
        <x:v>Registro</x:v>
      </x:c>
    </x:row>
    <x:row r="35">
      <x:c r="B35" t="str">
        <x:v>Reseñas</x:v>
      </x:c>
    </x:row>
    <x:row r="36">
      <x:c r="B36" t="str">
        <x:v>Resumen de compra</x:v>
      </x:c>
    </x:row>
    <x:row r="37">
      <x:c r="B37" t="str">
        <x:v>Soporte</x:v>
      </x:c>
    </x:row>
    <x:row r="38">
      <x:c r="B38" t="str">
        <x:v>Usabilidad</x:v>
      </x:c>
    </x:row>
    <x:row r="39">
      <x:c r="B39" t="str">
        <x:v>Velocidad</x:v>
      </x:c>
    </x:row>
  </x:sheetData>
  <x:pageMargins left="0.7" right="0.7" top="0.75" bottom="0.75" header="0.3" footer="0.3"/>
</x:worksheet>
</file>